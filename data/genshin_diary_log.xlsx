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1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  <row r="44">
      <c r="A44" s="8" t="inlineStr">
        <is>
          <t>2026-05-16</t>
        </is>
      </c>
      <c r="B44" s="9" t="n">
        <v>0</v>
      </c>
      <c r="C44" s="9" t="n">
        <v>0</v>
      </c>
      <c r="D44" s="10">
        <f>D43+B44</f>
        <v/>
      </c>
      <c r="E44" s="10">
        <f>E43+C44</f>
        <v/>
      </c>
      <c r="F44" s="10">
        <f>D44/160+E44</f>
        <v/>
      </c>
      <c r="G44" s="10">
        <f>MAX((80-F44)*160,0)</f>
        <v/>
      </c>
      <c r="H44" s="10">
        <f>IF(21&gt;=21,SUMPRODUCT(B24:B44+C24:C44*160)/21,0)</f>
        <v/>
      </c>
      <c r="I44" s="10">
        <f>IF(H44&gt;0,G44/H44,0)</f>
        <v/>
      </c>
    </row>
    <row r="45">
      <c r="A45" s="5" t="inlineStr">
        <is>
          <t>2026-05-17</t>
        </is>
      </c>
      <c r="B45" s="6" t="n">
        <v>60</v>
      </c>
      <c r="C45" s="6" t="n">
        <v>0</v>
      </c>
      <c r="D45" s="7">
        <f>D44+B45</f>
        <v/>
      </c>
      <c r="E45" s="7">
        <f>E44+C45</f>
        <v/>
      </c>
      <c r="F45" s="7">
        <f>D45/160+E45</f>
        <v/>
      </c>
      <c r="G45" s="7">
        <f>MAX((80-F45)*160,0)</f>
        <v/>
      </c>
      <c r="H45" s="7">
        <f>IF(21&gt;=21,SUMPRODUCT(B25:B45+C25:C45*160)/21,0)</f>
        <v/>
      </c>
      <c r="I45" s="7">
        <f>IF(H45&gt;0,G45/H45,0)</f>
        <v/>
      </c>
    </row>
    <row r="46">
      <c r="A46" s="8" t="inlineStr">
        <is>
          <t>2026-05-18</t>
        </is>
      </c>
      <c r="B46" s="9" t="n">
        <v>0</v>
      </c>
      <c r="C46" s="9" t="n">
        <v>0</v>
      </c>
      <c r="D46" s="10">
        <f>D45+B46</f>
        <v/>
      </c>
      <c r="E46" s="10">
        <f>E45+C46</f>
        <v/>
      </c>
      <c r="F46" s="10">
        <f>D46/160+E46</f>
        <v/>
      </c>
      <c r="G46" s="10">
        <f>MAX((80-F46)*160,0)</f>
        <v/>
      </c>
      <c r="H46" s="10">
        <f>IF(21&gt;=21,SUMPRODUCT(B26:B46+C26:C46*160)/21,0)</f>
        <v/>
      </c>
      <c r="I46" s="10">
        <f>IF(H46&gt;0,G46/H46,0)</f>
        <v/>
      </c>
    </row>
    <row r="47">
      <c r="A47" s="5" t="inlineStr">
        <is>
          <t>2026-05-19</t>
        </is>
      </c>
      <c r="B47" s="6" t="n">
        <v>0</v>
      </c>
      <c r="C47" s="6" t="n">
        <v>0</v>
      </c>
      <c r="D47" s="7">
        <f>D46+B47</f>
        <v/>
      </c>
      <c r="E47" s="7">
        <f>E46+C47</f>
        <v/>
      </c>
      <c r="F47" s="7">
        <f>D47/160+E47</f>
        <v/>
      </c>
      <c r="G47" s="7">
        <f>MAX((80-F47)*160,0)</f>
        <v/>
      </c>
      <c r="H47" s="7">
        <f>IF(21&gt;=21,SUMPRODUCT(B27:B47+C27:C47*160)/21,0)</f>
        <v/>
      </c>
      <c r="I47" s="7">
        <f>IF(H47&gt;0,G47/H47,0)</f>
        <v/>
      </c>
    </row>
    <row r="48">
      <c r="A48" s="8" t="inlineStr">
        <is>
          <t>2026-05-20</t>
        </is>
      </c>
      <c r="B48" s="9" t="n">
        <v>11</v>
      </c>
      <c r="C48" s="9" t="n">
        <v>0</v>
      </c>
      <c r="D48" s="10">
        <f>D47+B48</f>
        <v/>
      </c>
      <c r="E48" s="10">
        <f>E47+C48</f>
        <v/>
      </c>
      <c r="F48" s="10">
        <f>D48/160+E48</f>
        <v/>
      </c>
      <c r="G48" s="10">
        <f>MAX((80-F48)*160,0)</f>
        <v/>
      </c>
      <c r="H48" s="10">
        <f>IF(21&gt;=21,SUMPRODUCT(B28:B48+C28:C48*160)/21,0)</f>
        <v/>
      </c>
      <c r="I48" s="10">
        <f>IF(H48&gt;0,G48/H48,0)</f>
        <v/>
      </c>
    </row>
    <row r="49">
      <c r="A49" s="5" t="inlineStr">
        <is>
          <t>2026-05-21</t>
        </is>
      </c>
      <c r="B49" s="6" t="n">
        <v>80</v>
      </c>
      <c r="C49" s="6" t="n">
        <v>0</v>
      </c>
      <c r="D49" s="7">
        <f>D48+B49</f>
        <v/>
      </c>
      <c r="E49" s="7">
        <f>E48+C49</f>
        <v/>
      </c>
      <c r="F49" s="7">
        <f>D49/160+E49</f>
        <v/>
      </c>
      <c r="G49" s="7">
        <f>MAX((80-F49)*160,0)</f>
        <v/>
      </c>
      <c r="H49" s="7">
        <f>IF(21&gt;=21,SUMPRODUCT(B29:B49+C29:C49*160)/21,0)</f>
        <v/>
      </c>
      <c r="I49" s="7">
        <f>IF(H49&gt;0,G49/H49,0)</f>
        <v/>
      </c>
    </row>
    <row r="50">
      <c r="A50" s="8" t="inlineStr">
        <is>
          <t>2026-05-22</t>
        </is>
      </c>
      <c r="B50" s="9" t="n">
        <v>60</v>
      </c>
      <c r="C50" s="9" t="n">
        <v>0</v>
      </c>
      <c r="D50" s="10">
        <f>D49+B50</f>
        <v/>
      </c>
      <c r="E50" s="10">
        <f>E49+C50</f>
        <v/>
      </c>
      <c r="F50" s="10">
        <f>D50/160+E50</f>
        <v/>
      </c>
      <c r="G50" s="10">
        <f>MAX((80-F50)*160,0)</f>
        <v/>
      </c>
      <c r="H50" s="10">
        <f>IF(21&gt;=21,SUMPRODUCT(B30:B50+C30:C50*160)/21,0)</f>
        <v/>
      </c>
      <c r="I50" s="10">
        <f>IF(H50&gt;0,G50/H50,0)</f>
        <v/>
      </c>
    </row>
    <row r="51">
      <c r="A51" s="5" t="inlineStr">
        <is>
          <t>2026-05-23</t>
        </is>
      </c>
      <c r="B51" s="6" t="n">
        <v>200</v>
      </c>
      <c r="C51" s="6" t="n">
        <v>0</v>
      </c>
      <c r="D51" s="7">
        <f>D50+B51</f>
        <v/>
      </c>
      <c r="E51" s="7">
        <f>E50+C51</f>
        <v/>
      </c>
      <c r="F51" s="7">
        <f>D51/160+E51</f>
        <v/>
      </c>
      <c r="G51" s="7">
        <f>MAX((80-F51)*160,0)</f>
        <v/>
      </c>
      <c r="H51" s="7">
        <f>IF(21&gt;=21,SUMPRODUCT(B31:B51+C31:C51*160)/21,0)</f>
        <v/>
      </c>
      <c r="I51" s="7">
        <f>IF(H51&gt;0,G51/H51,0)</f>
        <v/>
      </c>
    </row>
    <row r="52">
      <c r="A52" s="8" t="inlineStr">
        <is>
          <t>2026-05-24</t>
        </is>
      </c>
      <c r="B52" s="9" t="n">
        <v>375</v>
      </c>
      <c r="C52" s="9" t="n">
        <v>0</v>
      </c>
      <c r="D52" s="10">
        <f>D51+B52</f>
        <v/>
      </c>
      <c r="E52" s="10">
        <f>E51+C52</f>
        <v/>
      </c>
      <c r="F52" s="10">
        <f>D52/160+E52</f>
        <v/>
      </c>
      <c r="G52" s="10">
        <f>MAX((80-F52)*160,0)</f>
        <v/>
      </c>
      <c r="H52" s="10">
        <f>IF(21&gt;=21,SUMPRODUCT(B32:B52+C32:C52*160)/21,0)</f>
        <v/>
      </c>
      <c r="I52" s="10">
        <f>IF(H52&gt;0,G52/H52,0)</f>
        <v/>
      </c>
    </row>
    <row r="53">
      <c r="A53" s="5" t="inlineStr">
        <is>
          <t>2026-05-25</t>
        </is>
      </c>
      <c r="B53" s="6" t="n">
        <v>70</v>
      </c>
      <c r="C53" s="6" t="n">
        <v>0</v>
      </c>
      <c r="D53" s="7">
        <f>D52+B53</f>
        <v/>
      </c>
      <c r="E53" s="7">
        <f>E52+C53</f>
        <v/>
      </c>
      <c r="F53" s="7">
        <f>D53/160+E53</f>
        <v/>
      </c>
      <c r="G53" s="7">
        <f>MAX((80-F53)*160,0)</f>
        <v/>
      </c>
      <c r="H53" s="7">
        <f>IF(21&gt;=21,SUMPRODUCT(B33:B53+C33:C53*160)/21,0)</f>
        <v/>
      </c>
      <c r="I53" s="7">
        <f>IF(H53&gt;0,G53/H53,0)</f>
        <v/>
      </c>
    </row>
    <row r="54">
      <c r="A54" s="8" t="inlineStr">
        <is>
          <t>2026-05-26</t>
        </is>
      </c>
      <c r="B54" s="9" t="n">
        <v>0</v>
      </c>
      <c r="C54" s="9" t="n">
        <v>0</v>
      </c>
      <c r="D54" s="10">
        <f>D53+B54</f>
        <v/>
      </c>
      <c r="E54" s="10">
        <f>E53+C54</f>
        <v/>
      </c>
      <c r="F54" s="10">
        <f>D54/160+E54</f>
        <v/>
      </c>
      <c r="G54" s="10">
        <f>MAX((80-F54)*160,0)</f>
        <v/>
      </c>
      <c r="H54" s="10">
        <f>IF(21&gt;=21,SUMPRODUCT(B34:B54+C34:C54*160)/21,0)</f>
        <v/>
      </c>
      <c r="I54" s="10">
        <f>IF(H54&gt;0,G54/H54,0)</f>
        <v/>
      </c>
    </row>
    <row r="55">
      <c r="A55" s="5" t="inlineStr">
        <is>
          <t>2026-05-27</t>
        </is>
      </c>
      <c r="B55" s="6" t="n">
        <v>0</v>
      </c>
      <c r="C55" s="6" t="n">
        <v>0</v>
      </c>
      <c r="D55" s="7">
        <f>D54+B55</f>
        <v/>
      </c>
      <c r="E55" s="7">
        <f>E54+C55</f>
        <v/>
      </c>
      <c r="F55" s="7">
        <f>D55/160+E55</f>
        <v/>
      </c>
      <c r="G55" s="7">
        <f>MAX((80-F55)*160,0)</f>
        <v/>
      </c>
      <c r="H55" s="7">
        <f>IF(21&gt;=21,SUMPRODUCT(B35:B55+C35:C55*160)/21,0)</f>
        <v/>
      </c>
      <c r="I55" s="7">
        <f>IF(H55&gt;0,G55/H55,0)</f>
        <v/>
      </c>
    </row>
    <row r="56">
      <c r="A56" s="8" t="inlineStr">
        <is>
          <t>2026-05-28</t>
        </is>
      </c>
      <c r="B56" s="9" t="n">
        <v>395</v>
      </c>
      <c r="C56" s="9" t="n">
        <v>0</v>
      </c>
      <c r="D56" s="10">
        <f>D55+B56</f>
        <v/>
      </c>
      <c r="E56" s="10">
        <f>E55+C56</f>
        <v/>
      </c>
      <c r="F56" s="10">
        <f>D56/160+E56</f>
        <v/>
      </c>
      <c r="G56" s="10">
        <f>MAX((80-F56)*160,0)</f>
        <v/>
      </c>
      <c r="H56" s="10">
        <f>IF(21&gt;=21,SUMPRODUCT(B36:B56+C36:C56*160)/21,0)</f>
        <v/>
      </c>
      <c r="I56" s="10">
        <f>IF(H56&gt;0,G56/H56,0)</f>
        <v/>
      </c>
    </row>
    <row r="57">
      <c r="A57" s="5" t="inlineStr">
        <is>
          <t>2026-05-29</t>
        </is>
      </c>
      <c r="B57" s="6" t="n">
        <v>0</v>
      </c>
      <c r="C57" s="6" t="n">
        <v>0</v>
      </c>
      <c r="D57" s="7">
        <f>D56+B57</f>
        <v/>
      </c>
      <c r="E57" s="7">
        <f>E56+C57</f>
        <v/>
      </c>
      <c r="F57" s="7">
        <f>D57/160+E57</f>
        <v/>
      </c>
      <c r="G57" s="7">
        <f>MAX((80-F57)*160,0)</f>
        <v/>
      </c>
      <c r="H57" s="7">
        <f>IF(21&gt;=21,SUMPRODUCT(B37:B57+C37:C57*160)/21,0)</f>
        <v/>
      </c>
      <c r="I57" s="7">
        <f>IF(H57&gt;0,G57/H57,0)</f>
        <v/>
      </c>
    </row>
    <row r="58">
      <c r="A58" s="8" t="inlineStr">
        <is>
          <t>2026-05-30</t>
        </is>
      </c>
      <c r="B58" s="9" t="n">
        <v>60</v>
      </c>
      <c r="C58" s="9" t="n">
        <v>0</v>
      </c>
      <c r="D58" s="10">
        <f>D57+B58</f>
        <v/>
      </c>
      <c r="E58" s="10">
        <f>E57+C58</f>
        <v/>
      </c>
      <c r="F58" s="10">
        <f>D58/160+E58</f>
        <v/>
      </c>
      <c r="G58" s="10">
        <f>MAX((80-F58)*160,0)</f>
        <v/>
      </c>
      <c r="H58" s="10">
        <f>IF(21&gt;=21,SUMPRODUCT(B38:B58+C38:C58*160)/21,0)</f>
        <v/>
      </c>
      <c r="I58" s="10">
        <f>IF(H58&gt;0,G58/H58,0)</f>
        <v/>
      </c>
    </row>
    <row r="59">
      <c r="A59" s="5" t="inlineStr">
        <is>
          <t>2026-05-31</t>
        </is>
      </c>
      <c r="B59" s="6" t="n">
        <v>0</v>
      </c>
      <c r="C59" s="6" t="n">
        <v>0</v>
      </c>
      <c r="D59" s="7">
        <f>D58+B59</f>
        <v/>
      </c>
      <c r="E59" s="7">
        <f>E58+C59</f>
        <v/>
      </c>
      <c r="F59" s="7">
        <f>D59/160+E59</f>
        <v/>
      </c>
      <c r="G59" s="7">
        <f>MAX((80-F59)*160,0)</f>
        <v/>
      </c>
      <c r="H59" s="7">
        <f>IF(21&gt;=21,SUMPRODUCT(B39:B59+C39:C59*160)/21,0)</f>
        <v/>
      </c>
      <c r="I59" s="7">
        <f>IF(H59&gt;0,G59/H59,0)</f>
        <v/>
      </c>
    </row>
    <row r="60">
      <c r="A60" s="8" t="inlineStr">
        <is>
          <t>2026-06-01</t>
        </is>
      </c>
      <c r="B60" s="9" t="n">
        <v>0</v>
      </c>
      <c r="C60" s="9" t="n">
        <v>0</v>
      </c>
      <c r="D60" s="10">
        <f>D59+B60</f>
        <v/>
      </c>
      <c r="E60" s="10">
        <f>E59+C60</f>
        <v/>
      </c>
      <c r="F60" s="10">
        <f>D60/160+E60</f>
        <v/>
      </c>
      <c r="G60" s="10">
        <f>MAX((80-F60)*160,0)</f>
        <v/>
      </c>
      <c r="H60" s="10">
        <f>IF(21&gt;=21,SUMPRODUCT(B40:B60+C40:C60*160)/21,0)</f>
        <v/>
      </c>
      <c r="I60" s="10">
        <f>IF(H60&gt;0,G60/H60,0)</f>
        <v/>
      </c>
    </row>
    <row r="61">
      <c r="A61" s="5" t="inlineStr">
        <is>
          <t>2026-06-02</t>
        </is>
      </c>
      <c r="B61" s="6" t="n">
        <v>0</v>
      </c>
      <c r="C61" s="6" t="n">
        <v>0</v>
      </c>
      <c r="D61" s="7">
        <f>D60+B61</f>
        <v/>
      </c>
      <c r="E61" s="7">
        <f>E60+C61</f>
        <v/>
      </c>
      <c r="F61" s="7">
        <f>D61/160+E61</f>
        <v/>
      </c>
      <c r="G61" s="7">
        <f>MAX((80-F61)*160,0)</f>
        <v/>
      </c>
      <c r="H61" s="7">
        <f>IF(21&gt;=21,SUMPRODUCT(B41:B61+C41:C61*160)/21,0)</f>
        <v/>
      </c>
      <c r="I61" s="7">
        <f>IF(H61&gt;0,G61/H61,0)</f>
        <v/>
      </c>
    </row>
    <row r="62">
      <c r="A62" s="8" t="inlineStr">
        <is>
          <t>2026-06-03</t>
        </is>
      </c>
      <c r="B62" s="9" t="n">
        <v>0</v>
      </c>
      <c r="C62" s="9" t="n">
        <v>0</v>
      </c>
      <c r="D62" s="10">
        <f>D61+B62</f>
        <v/>
      </c>
      <c r="E62" s="10">
        <f>E61+C62</f>
        <v/>
      </c>
      <c r="F62" s="10">
        <f>D62/160+E62</f>
        <v/>
      </c>
      <c r="G62" s="10">
        <f>MAX((80-F62)*160,0)</f>
        <v/>
      </c>
      <c r="H62" s="10">
        <f>IF(21&gt;=21,SUMPRODUCT(B42:B62+C42:C62*160)/21,0)</f>
        <v/>
      </c>
      <c r="I62" s="10">
        <f>IF(H62&gt;0,G62/H62,0)</f>
        <v/>
      </c>
    </row>
    <row r="63">
      <c r="A63" s="5" t="inlineStr">
        <is>
          <t>2026-06-04</t>
        </is>
      </c>
      <c r="B63" s="6" t="n">
        <v>0</v>
      </c>
      <c r="C63" s="6" t="n">
        <v>0</v>
      </c>
      <c r="D63" s="7">
        <f>D62+B63</f>
        <v/>
      </c>
      <c r="E63" s="7">
        <f>E62+C63</f>
        <v/>
      </c>
      <c r="F63" s="7">
        <f>D63/160+E63</f>
        <v/>
      </c>
      <c r="G63" s="7">
        <f>MAX((80-F63)*160,0)</f>
        <v/>
      </c>
      <c r="H63" s="7">
        <f>IF(21&gt;=21,SUMPRODUCT(B43:B63+C43:C63*160)/21,0)</f>
        <v/>
      </c>
      <c r="I63" s="7">
        <f>IF(H63&gt;0,G63/H63,0)</f>
        <v/>
      </c>
    </row>
    <row r="64">
      <c r="A64" s="8" t="inlineStr">
        <is>
          <t>2026-06-05</t>
        </is>
      </c>
      <c r="B64" s="9" t="n">
        <v>0</v>
      </c>
      <c r="C64" s="9" t="n">
        <v>0</v>
      </c>
      <c r="D64" s="10">
        <f>D63+B64</f>
        <v/>
      </c>
      <c r="E64" s="10">
        <f>E63+C64</f>
        <v/>
      </c>
      <c r="F64" s="10">
        <f>D64/160+E64</f>
        <v/>
      </c>
      <c r="G64" s="10">
        <f>MAX((80-F64)*160,0)</f>
        <v/>
      </c>
      <c r="H64" s="10">
        <f>IF(21&gt;=21,SUMPRODUCT(B44:B64+C44:C64*160)/21,0)</f>
        <v/>
      </c>
      <c r="I64" s="10">
        <f>IF(H64&gt;0,G64/H64,0)</f>
        <v/>
      </c>
    </row>
    <row r="65">
      <c r="A65" s="5" t="inlineStr">
        <is>
          <t>2026-06-06</t>
        </is>
      </c>
      <c r="B65" s="6" t="n">
        <v>0</v>
      </c>
      <c r="C65" s="6" t="n">
        <v>0</v>
      </c>
      <c r="D65" s="7">
        <f>D64+B65</f>
        <v/>
      </c>
      <c r="E65" s="7">
        <f>E64+C65</f>
        <v/>
      </c>
      <c r="F65" s="7">
        <f>D65/160+E65</f>
        <v/>
      </c>
      <c r="G65" s="7">
        <f>MAX((80-F65)*160,0)</f>
        <v/>
      </c>
      <c r="H65" s="7">
        <f>IF(21&gt;=21,SUMPRODUCT(B45:B65+C45:C65*160)/21,0)</f>
        <v/>
      </c>
      <c r="I65" s="7">
        <f>IF(H65&gt;0,G65/H65,0)</f>
        <v/>
      </c>
    </row>
    <row r="66">
      <c r="A66" s="8" t="inlineStr">
        <is>
          <t>2026-06-07</t>
        </is>
      </c>
      <c r="B66" s="9" t="n">
        <v>0</v>
      </c>
      <c r="C66" s="9" t="n">
        <v>0</v>
      </c>
      <c r="D66" s="10">
        <f>D65+B66</f>
        <v/>
      </c>
      <c r="E66" s="10">
        <f>E65+C66</f>
        <v/>
      </c>
      <c r="F66" s="10">
        <f>D66/160+E66</f>
        <v/>
      </c>
      <c r="G66" s="10">
        <f>MAX((80-F66)*160,0)</f>
        <v/>
      </c>
      <c r="H66" s="10">
        <f>IF(21&gt;=21,SUMPRODUCT(B46:B66+C46:C66*160)/21,0)</f>
        <v/>
      </c>
      <c r="I66" s="10">
        <f>IF(H66&gt;0,G66/H66,0)</f>
        <v/>
      </c>
    </row>
    <row r="67">
      <c r="A67" s="5" t="inlineStr">
        <is>
          <t>2026-06-08</t>
        </is>
      </c>
      <c r="B67" s="6" t="n">
        <v>0</v>
      </c>
      <c r="C67" s="6" t="n">
        <v>0</v>
      </c>
      <c r="D67" s="7">
        <f>D66+B67</f>
        <v/>
      </c>
      <c r="E67" s="7">
        <f>E66+C67</f>
        <v/>
      </c>
      <c r="F67" s="7">
        <f>D67/160+E67</f>
        <v/>
      </c>
      <c r="G67" s="7">
        <f>MAX((80-F67)*160,0)</f>
        <v/>
      </c>
      <c r="H67" s="7">
        <f>IF(21&gt;=21,SUMPRODUCT(B47:B67+C47:C67*160)/21,0)</f>
        <v/>
      </c>
      <c r="I67" s="7">
        <f>IF(H67&gt;0,G67/H67,0)</f>
        <v/>
      </c>
    </row>
    <row r="68">
      <c r="A68" s="8" t="inlineStr">
        <is>
          <t>2026-06-09</t>
        </is>
      </c>
      <c r="B68" s="9" t="n">
        <v>0</v>
      </c>
      <c r="C68" s="9" t="n">
        <v>0</v>
      </c>
      <c r="D68" s="10">
        <f>D67+B68</f>
        <v/>
      </c>
      <c r="E68" s="10">
        <f>E67+C68</f>
        <v/>
      </c>
      <c r="F68" s="10">
        <f>D68/160+E68</f>
        <v/>
      </c>
      <c r="G68" s="10">
        <f>MAX((80-F68)*160,0)</f>
        <v/>
      </c>
      <c r="H68" s="10">
        <f>IF(21&gt;=21,SUMPRODUCT(B48:B68+C48:C68*160)/21,0)</f>
        <v/>
      </c>
      <c r="I68" s="10">
        <f>IF(H68&gt;0,G68/H68,0)</f>
        <v/>
      </c>
    </row>
    <row r="69">
      <c r="A69" s="5" t="inlineStr">
        <is>
          <t>2026-06-10</t>
        </is>
      </c>
      <c r="B69" s="6" t="n">
        <v>0</v>
      </c>
      <c r="C69" s="6" t="n">
        <v>0</v>
      </c>
      <c r="D69" s="7">
        <f>D68+B69</f>
        <v/>
      </c>
      <c r="E69" s="7">
        <f>E68+C69</f>
        <v/>
      </c>
      <c r="F69" s="7">
        <f>D69/160+E69</f>
        <v/>
      </c>
      <c r="G69" s="7">
        <f>MAX((80-F69)*160,0)</f>
        <v/>
      </c>
      <c r="H69" s="7">
        <f>IF(21&gt;=21,SUMPRODUCT(B49:B69+C49:C69*160)/21,0)</f>
        <v/>
      </c>
      <c r="I69" s="7">
        <f>IF(H69&gt;0,G69/H69,0)</f>
        <v/>
      </c>
    </row>
    <row r="70">
      <c r="A70" s="8" t="inlineStr">
        <is>
          <t>2026-06-11</t>
        </is>
      </c>
      <c r="B70" s="9" t="n">
        <v>90</v>
      </c>
      <c r="C70" s="9" t="n">
        <v>0</v>
      </c>
      <c r="D70" s="10">
        <f>D69+B70</f>
        <v/>
      </c>
      <c r="E70" s="10">
        <f>E69+C70</f>
        <v/>
      </c>
      <c r="F70" s="10">
        <f>D70/160+E70</f>
        <v/>
      </c>
      <c r="G70" s="10">
        <f>MAX((80-F70)*160,0)</f>
        <v/>
      </c>
      <c r="H70" s="10">
        <f>IF(21&gt;=21,SUMPRODUCT(B50:B70+C50:C70*160)/21,0)</f>
        <v/>
      </c>
      <c r="I70" s="10">
        <f>IF(H70&gt;0,G70/H70,0)</f>
        <v/>
      </c>
    </row>
    <row r="71">
      <c r="A71" s="5" t="inlineStr">
        <is>
          <t>2026-06-12</t>
        </is>
      </c>
      <c r="B71" s="6" t="n">
        <v>0</v>
      </c>
      <c r="C71" s="6" t="n">
        <v>0</v>
      </c>
      <c r="D71" s="7">
        <f>D70+B71</f>
        <v/>
      </c>
      <c r="E71" s="7">
        <f>E70+C71</f>
        <v/>
      </c>
      <c r="F71" s="7">
        <f>D71/160+E71</f>
        <v/>
      </c>
      <c r="G71" s="7">
        <f>MAX((80-F71)*160,0)</f>
        <v/>
      </c>
      <c r="H71" s="7">
        <f>IF(21&gt;=21,SUMPRODUCT(B51:B71+C51:C71*160)/21,0)</f>
        <v/>
      </c>
      <c r="I71" s="7">
        <f>IF(H71&gt;0,G71/H71,0)</f>
        <v/>
      </c>
    </row>
    <row r="72">
      <c r="A72" s="8" t="inlineStr">
        <is>
          <t>2026-06-13</t>
        </is>
      </c>
      <c r="B72" s="9" t="n">
        <v>0</v>
      </c>
      <c r="C72" s="9" t="n">
        <v>0</v>
      </c>
      <c r="D72" s="10">
        <f>D71+B72</f>
        <v/>
      </c>
      <c r="E72" s="10">
        <f>E71+C72</f>
        <v/>
      </c>
      <c r="F72" s="10">
        <f>D72/160+E72</f>
        <v/>
      </c>
      <c r="G72" s="10">
        <f>MAX((80-F72)*160,0)</f>
        <v/>
      </c>
      <c r="H72" s="10">
        <f>IF(21&gt;=21,SUMPRODUCT(B52:B72+C52:C72*160)/21,0)</f>
        <v/>
      </c>
      <c r="I72" s="10">
        <f>IF(H72&gt;0,G72/H72,0)</f>
        <v/>
      </c>
    </row>
    <row r="73">
      <c r="A73" s="5" t="inlineStr">
        <is>
          <t>2026-06-14</t>
        </is>
      </c>
      <c r="B73" s="6" t="n">
        <v>0</v>
      </c>
      <c r="C73" s="6" t="n">
        <v>0</v>
      </c>
      <c r="D73" s="7">
        <f>D72+B73</f>
        <v/>
      </c>
      <c r="E73" s="7">
        <f>E72+C73</f>
        <v/>
      </c>
      <c r="F73" s="7">
        <f>D73/160+E73</f>
        <v/>
      </c>
      <c r="G73" s="7">
        <f>MAX((80-F73)*160,0)</f>
        <v/>
      </c>
      <c r="H73" s="7">
        <f>IF(21&gt;=21,SUMPRODUCT(B53:B73+C53:C73*160)/21,0)</f>
        <v/>
      </c>
      <c r="I73" s="7">
        <f>IF(H73&gt;0,G73/H73,0)</f>
        <v/>
      </c>
    </row>
    <row r="74">
      <c r="A74" s="8" t="inlineStr">
        <is>
          <t>2026-06-15</t>
        </is>
      </c>
      <c r="B74" s="9" t="n">
        <v>0</v>
      </c>
      <c r="C74" s="9" t="n">
        <v>0</v>
      </c>
      <c r="D74" s="10">
        <f>D73+B74</f>
        <v/>
      </c>
      <c r="E74" s="10">
        <f>E73+C74</f>
        <v/>
      </c>
      <c r="F74" s="10">
        <f>D74/160+E74</f>
        <v/>
      </c>
      <c r="G74" s="10">
        <f>MAX((80-F74)*160,0)</f>
        <v/>
      </c>
      <c r="H74" s="10">
        <f>IF(21&gt;=21,SUMPRODUCT(B54:B74+C54:C74*160)/21,0)</f>
        <v/>
      </c>
      <c r="I74" s="10">
        <f>IF(H74&gt;0,G74/H74,0)</f>
        <v/>
      </c>
    </row>
    <row r="75">
      <c r="A75" s="5" t="inlineStr">
        <is>
          <t>2026-06-16</t>
        </is>
      </c>
      <c r="B75" s="6" t="n">
        <v>0</v>
      </c>
      <c r="C75" s="6" t="n">
        <v>0</v>
      </c>
      <c r="D75" s="7">
        <f>D74+B75</f>
        <v/>
      </c>
      <c r="E75" s="7">
        <f>E74+C75</f>
        <v/>
      </c>
      <c r="F75" s="7">
        <f>D75/160+E75</f>
        <v/>
      </c>
      <c r="G75" s="7">
        <f>MAX((80-F75)*160,0)</f>
        <v/>
      </c>
      <c r="H75" s="7">
        <f>IF(21&gt;=21,SUMPRODUCT(B55:B75+C55:C75*160)/21,0)</f>
        <v/>
      </c>
      <c r="I75" s="7">
        <f>IF(H75&gt;0,G75/H75,0)</f>
        <v/>
      </c>
    </row>
    <row r="76">
      <c r="A76" s="8" t="inlineStr">
        <is>
          <t>2026-06-17</t>
        </is>
      </c>
      <c r="B76" s="9" t="n">
        <v>0</v>
      </c>
      <c r="C76" s="9" t="n">
        <v>0</v>
      </c>
      <c r="D76" s="10">
        <f>D75+B76</f>
        <v/>
      </c>
      <c r="E76" s="10">
        <f>E75+C76</f>
        <v/>
      </c>
      <c r="F76" s="10">
        <f>D76/160+E76</f>
        <v/>
      </c>
      <c r="G76" s="10">
        <f>MAX((80-F76)*160,0)</f>
        <v/>
      </c>
      <c r="H76" s="10">
        <f>IF(21&gt;=21,SUMPRODUCT(B56:B76+C56:C76*160)/21,0)</f>
        <v/>
      </c>
      <c r="I76" s="10">
        <f>IF(H76&gt;0,G76/H76,0)</f>
        <v/>
      </c>
    </row>
    <row r="77">
      <c r="A77" s="5" t="inlineStr">
        <is>
          <t>2026-06-18</t>
        </is>
      </c>
      <c r="B77" s="6" t="n">
        <v>1031</v>
      </c>
      <c r="C77" s="6" t="n">
        <v>0</v>
      </c>
      <c r="D77" s="7">
        <f>D76+B77</f>
        <v/>
      </c>
      <c r="E77" s="7">
        <f>E76+C77</f>
        <v/>
      </c>
      <c r="F77" s="7">
        <f>D77/160+E77</f>
        <v/>
      </c>
      <c r="G77" s="7">
        <f>MAX((80-F77)*160,0)</f>
        <v/>
      </c>
      <c r="H77" s="7">
        <f>IF(21&gt;=21,SUMPRODUCT(B57:B77+C57:C77*160)/21,0)</f>
        <v/>
      </c>
      <c r="I77" s="7">
        <f>IF(H77&gt;0,G77/H77,0)</f>
        <v/>
      </c>
    </row>
    <row r="78">
      <c r="A78" s="8" t="inlineStr">
        <is>
          <t>2026-06-19</t>
        </is>
      </c>
      <c r="B78" s="9" t="n">
        <v>0</v>
      </c>
      <c r="C78" s="9" t="n">
        <v>0</v>
      </c>
      <c r="D78" s="10">
        <f>D77+B78</f>
        <v/>
      </c>
      <c r="E78" s="10">
        <f>E77+C78</f>
        <v/>
      </c>
      <c r="F78" s="10">
        <f>D78/160+E78</f>
        <v/>
      </c>
      <c r="G78" s="10">
        <f>MAX((80-F78)*160,0)</f>
        <v/>
      </c>
      <c r="H78" s="10">
        <f>IF(21&gt;=21,SUMPRODUCT(B58:B78+C58:C78*160)/21,0)</f>
        <v/>
      </c>
      <c r="I78" s="10">
        <f>IF(H78&gt;0,G78/H78,0)</f>
        <v/>
      </c>
    </row>
    <row r="79">
      <c r="A79" s="5" t="inlineStr">
        <is>
          <t>2026-06-20</t>
        </is>
      </c>
      <c r="B79" s="6" t="n">
        <v>0</v>
      </c>
      <c r="C79" s="6" t="n">
        <v>0</v>
      </c>
      <c r="D79" s="7">
        <f>D78+B79</f>
        <v/>
      </c>
      <c r="E79" s="7">
        <f>E78+C79</f>
        <v/>
      </c>
      <c r="F79" s="7">
        <f>D79/160+E79</f>
        <v/>
      </c>
      <c r="G79" s="7">
        <f>MAX((80-F79)*160,0)</f>
        <v/>
      </c>
      <c r="H79" s="7">
        <f>IF(21&gt;=21,SUMPRODUCT(B59:B79+C59:C79*160)/21,0)</f>
        <v/>
      </c>
      <c r="I79" s="7">
        <f>IF(H79&gt;0,G79/H79,0)</f>
        <v/>
      </c>
    </row>
    <row r="80">
      <c r="A80" s="8" t="inlineStr">
        <is>
          <t>2026-06-21</t>
        </is>
      </c>
      <c r="B80" s="9" t="n">
        <v>0</v>
      </c>
      <c r="C80" s="9" t="n">
        <v>0</v>
      </c>
      <c r="D80" s="10">
        <f>D79+B80</f>
        <v/>
      </c>
      <c r="E80" s="10">
        <f>E79+C80</f>
        <v/>
      </c>
      <c r="F80" s="10">
        <f>D80/160+E80</f>
        <v/>
      </c>
      <c r="G80" s="10">
        <f>MAX((80-F80)*160,0)</f>
        <v/>
      </c>
      <c r="H80" s="10">
        <f>IF(21&gt;=21,SUMPRODUCT(B60:B80+C60:C80*160)/21,0)</f>
        <v/>
      </c>
      <c r="I80" s="10">
        <f>IF(H80&gt;0,G80/H80,0)</f>
        <v/>
      </c>
    </row>
    <row r="81">
      <c r="A81" s="5" t="inlineStr">
        <is>
          <t>2026-06-22</t>
        </is>
      </c>
      <c r="B81" s="6" t="n">
        <v>0</v>
      </c>
      <c r="C81" s="6" t="n">
        <v>0</v>
      </c>
      <c r="D81" s="7">
        <f>D80+B81</f>
        <v/>
      </c>
      <c r="E81" s="7">
        <f>E80+C81</f>
        <v/>
      </c>
      <c r="F81" s="7">
        <f>D81/160+E81</f>
        <v/>
      </c>
      <c r="G81" s="7">
        <f>MAX((80-F81)*160,0)</f>
        <v/>
      </c>
      <c r="H81" s="7">
        <f>IF(21&gt;=21,SUMPRODUCT(B61:B81+C61:C81*160)/21,0)</f>
        <v/>
      </c>
      <c r="I81" s="7">
        <f>IF(H81&gt;0,G81/H81,0)</f>
        <v/>
      </c>
    </row>
    <row r="82">
      <c r="A82" s="8" t="inlineStr">
        <is>
          <t>2026-06-23</t>
        </is>
      </c>
      <c r="B82" s="9" t="n">
        <v>0</v>
      </c>
      <c r="C82" s="9" t="n">
        <v>0</v>
      </c>
      <c r="D82" s="10">
        <f>D81+B82</f>
        <v/>
      </c>
      <c r="E82" s="10">
        <f>E81+C82</f>
        <v/>
      </c>
      <c r="F82" s="10">
        <f>D82/160+E82</f>
        <v/>
      </c>
      <c r="G82" s="10">
        <f>MAX((80-F82)*160,0)</f>
        <v/>
      </c>
      <c r="H82" s="10">
        <f>IF(21&gt;=21,SUMPRODUCT(B62:B82+C62:C82*160)/21,0)</f>
        <v/>
      </c>
      <c r="I82" s="10">
        <f>IF(H82&gt;0,G82/H82,0)</f>
        <v/>
      </c>
    </row>
    <row r="83">
      <c r="A83" s="5" t="inlineStr">
        <is>
          <t>2026-06-24</t>
        </is>
      </c>
      <c r="B83" s="6" t="n">
        <v>0</v>
      </c>
      <c r="C83" s="6" t="n">
        <v>0</v>
      </c>
      <c r="D83" s="7">
        <f>D82+B83</f>
        <v/>
      </c>
      <c r="E83" s="7">
        <f>E82+C83</f>
        <v/>
      </c>
      <c r="F83" s="7">
        <f>D83/160+E83</f>
        <v/>
      </c>
      <c r="G83" s="7">
        <f>MAX((80-F83)*160,0)</f>
        <v/>
      </c>
      <c r="H83" s="7">
        <f>IF(21&gt;=21,SUMPRODUCT(B63:B83+C63:C83*160)/21,0)</f>
        <v/>
      </c>
      <c r="I83" s="7">
        <f>IF(H83&gt;0,G83/H83,0)</f>
        <v/>
      </c>
    </row>
    <row r="84">
      <c r="A84" s="8" t="inlineStr">
        <is>
          <t>2026-06-25</t>
        </is>
      </c>
      <c r="B84" s="9" t="n">
        <v>0</v>
      </c>
      <c r="C84" s="9" t="n">
        <v>0</v>
      </c>
      <c r="D84" s="10">
        <f>D83+B84</f>
        <v/>
      </c>
      <c r="E84" s="10">
        <f>E83+C84</f>
        <v/>
      </c>
      <c r="F84" s="10">
        <f>D84/160+E84</f>
        <v/>
      </c>
      <c r="G84" s="10">
        <f>MAX((80-F84)*160,0)</f>
        <v/>
      </c>
      <c r="H84" s="10">
        <f>IF(21&gt;=21,SUMPRODUCT(B64:B84+C64:C84*160)/21,0)</f>
        <v/>
      </c>
      <c r="I84" s="10">
        <f>IF(H84&gt;0,G84/H84,0)</f>
        <v/>
      </c>
    </row>
    <row r="85">
      <c r="A85" s="5" t="inlineStr">
        <is>
          <t>2026-06-26</t>
        </is>
      </c>
      <c r="B85" s="6" t="n">
        <v>0</v>
      </c>
      <c r="C85" s="6" t="n">
        <v>0</v>
      </c>
      <c r="D85" s="7">
        <f>D84+B85</f>
        <v/>
      </c>
      <c r="E85" s="7">
        <f>E84+C85</f>
        <v/>
      </c>
      <c r="F85" s="7">
        <f>D85/160+E85</f>
        <v/>
      </c>
      <c r="G85" s="7">
        <f>MAX((80-F85)*160,0)</f>
        <v/>
      </c>
      <c r="H85" s="7">
        <f>IF(21&gt;=21,SUMPRODUCT(B65:B85+C65:C85*160)/21,0)</f>
        <v/>
      </c>
      <c r="I85" s="7">
        <f>IF(H85&gt;0,G85/H85,0)</f>
        <v/>
      </c>
    </row>
    <row r="86">
      <c r="A86" s="8" t="inlineStr">
        <is>
          <t>2026-06-27</t>
        </is>
      </c>
      <c r="B86" s="9" t="n">
        <v>0</v>
      </c>
      <c r="C86" s="9" t="n">
        <v>0</v>
      </c>
      <c r="D86" s="10">
        <f>D85+B86</f>
        <v/>
      </c>
      <c r="E86" s="10">
        <f>E85+C86</f>
        <v/>
      </c>
      <c r="F86" s="10">
        <f>D86/160+E86</f>
        <v/>
      </c>
      <c r="G86" s="10">
        <f>MAX((80-F86)*160,0)</f>
        <v/>
      </c>
      <c r="H86" s="10">
        <f>IF(21&gt;=21,SUMPRODUCT(B66:B86+C66:C86*160)/21,0)</f>
        <v/>
      </c>
      <c r="I86" s="10">
        <f>IF(H86&gt;0,G86/H86,0)</f>
        <v/>
      </c>
    </row>
    <row r="87">
      <c r="A87" s="5" t="inlineStr">
        <is>
          <t>2026-06-28</t>
        </is>
      </c>
      <c r="B87" s="6" t="n">
        <v>0</v>
      </c>
      <c r="C87" s="6" t="n">
        <v>0</v>
      </c>
      <c r="D87" s="7">
        <f>D86+B87</f>
        <v/>
      </c>
      <c r="E87" s="7">
        <f>E86+C87</f>
        <v/>
      </c>
      <c r="F87" s="7">
        <f>D87/160+E87</f>
        <v/>
      </c>
      <c r="G87" s="7">
        <f>MAX((80-F87)*160,0)</f>
        <v/>
      </c>
      <c r="H87" s="7">
        <f>IF(21&gt;=21,SUMPRODUCT(B67:B87+C67:C87*160)/21,0)</f>
        <v/>
      </c>
      <c r="I87" s="7">
        <f>IF(H87&gt;0,G87/H87,0)</f>
        <v/>
      </c>
    </row>
    <row r="88">
      <c r="A88" s="8" t="inlineStr">
        <is>
          <t>2026-06-29</t>
        </is>
      </c>
      <c r="B88" s="9" t="n">
        <v>0</v>
      </c>
      <c r="C88" s="9" t="n">
        <v>0</v>
      </c>
      <c r="D88" s="10">
        <f>D87+B88</f>
        <v/>
      </c>
      <c r="E88" s="10">
        <f>E87+C88</f>
        <v/>
      </c>
      <c r="F88" s="10">
        <f>D88/160+E88</f>
        <v/>
      </c>
      <c r="G88" s="10">
        <f>MAX((80-F88)*160,0)</f>
        <v/>
      </c>
      <c r="H88" s="10">
        <f>IF(21&gt;=21,SUMPRODUCT(B68:B88+C68:C88*160)/21,0)</f>
        <v/>
      </c>
      <c r="I88" s="10">
        <f>IF(H88&gt;0,G88/H88,0)</f>
        <v/>
      </c>
    </row>
    <row r="89">
      <c r="A89" s="5" t="inlineStr">
        <is>
          <t>2026-06-30</t>
        </is>
      </c>
      <c r="B89" s="6" t="n">
        <v>0</v>
      </c>
      <c r="C89" s="6" t="n">
        <v>0</v>
      </c>
      <c r="D89" s="7">
        <f>D88+B89</f>
        <v/>
      </c>
      <c r="E89" s="7">
        <f>E88+C89</f>
        <v/>
      </c>
      <c r="F89" s="7">
        <f>D89/160+E89</f>
        <v/>
      </c>
      <c r="G89" s="7">
        <f>MAX((80-F89)*160,0)</f>
        <v/>
      </c>
      <c r="H89" s="7">
        <f>IF(21&gt;=21,SUMPRODUCT(B69:B89+C69:C89*160)/21,0)</f>
        <v/>
      </c>
      <c r="I89" s="7">
        <f>IF(H89&gt;0,G89/H89,0)</f>
        <v/>
      </c>
    </row>
    <row r="90">
      <c r="A90" s="8" t="inlineStr">
        <is>
          <t>2026-07-01</t>
        </is>
      </c>
      <c r="B90" s="9" t="n">
        <v>0</v>
      </c>
      <c r="C90" s="9" t="n">
        <v>0</v>
      </c>
      <c r="D90" s="10">
        <f>D89+B90</f>
        <v/>
      </c>
      <c r="E90" s="10">
        <f>E89+C90</f>
        <v/>
      </c>
      <c r="F90" s="10">
        <f>D90/160+E90</f>
        <v/>
      </c>
      <c r="G90" s="10">
        <f>MAX((80-F90)*160,0)</f>
        <v/>
      </c>
      <c r="H90" s="10">
        <f>IF(21&gt;=21,SUMPRODUCT(B70:B90+C70:C90*160)/21,0)</f>
        <v/>
      </c>
      <c r="I90" s="10">
        <f>IF(H90&gt;0,G90/H90,0)</f>
        <v/>
      </c>
    </row>
    <row r="91">
      <c r="A91" s="5" t="inlineStr">
        <is>
          <t>2026-07-02</t>
        </is>
      </c>
      <c r="B91" s="6" t="n">
        <v>288</v>
      </c>
      <c r="C91" s="6" t="n">
        <v>0</v>
      </c>
      <c r="D91" s="7">
        <f>D90+B91</f>
        <v/>
      </c>
      <c r="E91" s="7">
        <f>E90+C91</f>
        <v/>
      </c>
      <c r="F91" s="7">
        <f>D91/160+E91</f>
        <v/>
      </c>
      <c r="G91" s="7">
        <f>MAX((80-F91)*160,0)</f>
        <v/>
      </c>
      <c r="H91" s="7">
        <f>IF(21&gt;=21,SUMPRODUCT(B71:B91+C71:C91*160)/21,0)</f>
        <v/>
      </c>
      <c r="I91" s="7">
        <f>IF(H91&gt;0,G91/H91,0)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2026-07-02T18:54:26Z</dcterms:modified>
  <cp:lastModifiedBy>Rianna Santra</cp:lastModifiedBy>
</cp:coreProperties>
</file>