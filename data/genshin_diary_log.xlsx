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1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  <row r="65">
      <c r="A65" s="5" t="inlineStr">
        <is>
          <t>2026-06-06</t>
        </is>
      </c>
      <c r="B65" s="6" t="n">
        <v>0</v>
      </c>
      <c r="C65" s="6" t="n">
        <v>0</v>
      </c>
      <c r="D65" s="7">
        <f>D64+B65</f>
        <v/>
      </c>
      <c r="E65" s="7">
        <f>E64+C65</f>
        <v/>
      </c>
      <c r="F65" s="7">
        <f>D65/160+E65</f>
        <v/>
      </c>
      <c r="G65" s="7">
        <f>MAX((80-F65)*160,0)</f>
        <v/>
      </c>
      <c r="H65" s="7">
        <f>IF(21&gt;=21,SUMPRODUCT(B45:B65+C45:C65*160)/21,0)</f>
        <v/>
      </c>
      <c r="I65" s="7">
        <f>IF(H65&gt;0,G65/H65,0)</f>
        <v/>
      </c>
    </row>
    <row r="66">
      <c r="A66" s="8" t="inlineStr">
        <is>
          <t>2026-06-07</t>
        </is>
      </c>
      <c r="B66" s="9" t="n">
        <v>0</v>
      </c>
      <c r="C66" s="9" t="n">
        <v>0</v>
      </c>
      <c r="D66" s="10">
        <f>D65+B66</f>
        <v/>
      </c>
      <c r="E66" s="10">
        <f>E65+C66</f>
        <v/>
      </c>
      <c r="F66" s="10">
        <f>D66/160+E66</f>
        <v/>
      </c>
      <c r="G66" s="10">
        <f>MAX((80-F66)*160,0)</f>
        <v/>
      </c>
      <c r="H66" s="10">
        <f>IF(21&gt;=21,SUMPRODUCT(B46:B66+C46:C66*160)/21,0)</f>
        <v/>
      </c>
      <c r="I66" s="10">
        <f>IF(H66&gt;0,G66/H66,0)</f>
        <v/>
      </c>
    </row>
    <row r="67">
      <c r="A67" s="5" t="inlineStr">
        <is>
          <t>2026-06-08</t>
        </is>
      </c>
      <c r="B67" s="6" t="n">
        <v>0</v>
      </c>
      <c r="C67" s="6" t="n">
        <v>0</v>
      </c>
      <c r="D67" s="7">
        <f>D66+B67</f>
        <v/>
      </c>
      <c r="E67" s="7">
        <f>E66+C67</f>
        <v/>
      </c>
      <c r="F67" s="7">
        <f>D67/160+E67</f>
        <v/>
      </c>
      <c r="G67" s="7">
        <f>MAX((80-F67)*160,0)</f>
        <v/>
      </c>
      <c r="H67" s="7">
        <f>IF(21&gt;=21,SUMPRODUCT(B47:B67+C47:C67*160)/21,0)</f>
        <v/>
      </c>
      <c r="I67" s="7">
        <f>IF(H67&gt;0,G67/H67,0)</f>
        <v/>
      </c>
    </row>
    <row r="68">
      <c r="A68" s="8" t="inlineStr">
        <is>
          <t>2026-06-09</t>
        </is>
      </c>
      <c r="B68" s="9" t="n">
        <v>0</v>
      </c>
      <c r="C68" s="9" t="n">
        <v>0</v>
      </c>
      <c r="D68" s="10">
        <f>D67+B68</f>
        <v/>
      </c>
      <c r="E68" s="10">
        <f>E67+C68</f>
        <v/>
      </c>
      <c r="F68" s="10">
        <f>D68/160+E68</f>
        <v/>
      </c>
      <c r="G68" s="10">
        <f>MAX((80-F68)*160,0)</f>
        <v/>
      </c>
      <c r="H68" s="10">
        <f>IF(21&gt;=21,SUMPRODUCT(B48:B68+C48:C68*160)/21,0)</f>
        <v/>
      </c>
      <c r="I68" s="10">
        <f>IF(H68&gt;0,G68/H68,0)</f>
        <v/>
      </c>
    </row>
    <row r="69">
      <c r="A69" s="5" t="inlineStr">
        <is>
          <t>2026-06-10</t>
        </is>
      </c>
      <c r="B69" s="6" t="n">
        <v>0</v>
      </c>
      <c r="C69" s="6" t="n">
        <v>0</v>
      </c>
      <c r="D69" s="7">
        <f>D68+B69</f>
        <v/>
      </c>
      <c r="E69" s="7">
        <f>E68+C69</f>
        <v/>
      </c>
      <c r="F69" s="7">
        <f>D69/160+E69</f>
        <v/>
      </c>
      <c r="G69" s="7">
        <f>MAX((80-F69)*160,0)</f>
        <v/>
      </c>
      <c r="H69" s="7">
        <f>IF(21&gt;=21,SUMPRODUCT(B49:B69+C49:C69*160)/21,0)</f>
        <v/>
      </c>
      <c r="I69" s="7">
        <f>IF(H69&gt;0,G69/H69,0)</f>
        <v/>
      </c>
    </row>
    <row r="70">
      <c r="A70" s="8" t="inlineStr">
        <is>
          <t>2026-06-11</t>
        </is>
      </c>
      <c r="B70" s="9" t="n">
        <v>90</v>
      </c>
      <c r="C70" s="9" t="n">
        <v>0</v>
      </c>
      <c r="D70" s="10">
        <f>D69+B70</f>
        <v/>
      </c>
      <c r="E70" s="10">
        <f>E69+C70</f>
        <v/>
      </c>
      <c r="F70" s="10">
        <f>D70/160+E70</f>
        <v/>
      </c>
      <c r="G70" s="10">
        <f>MAX((80-F70)*160,0)</f>
        <v/>
      </c>
      <c r="H70" s="10">
        <f>IF(21&gt;=21,SUMPRODUCT(B50:B70+C50:C70*160)/21,0)</f>
        <v/>
      </c>
      <c r="I70" s="10">
        <f>IF(H70&gt;0,G70/H70,0)</f>
        <v/>
      </c>
    </row>
    <row r="71">
      <c r="A71" s="5" t="inlineStr">
        <is>
          <t>2026-06-12</t>
        </is>
      </c>
      <c r="B71" s="6" t="n">
        <v>0</v>
      </c>
      <c r="C71" s="6" t="n">
        <v>0</v>
      </c>
      <c r="D71" s="7">
        <f>D70+B71</f>
        <v/>
      </c>
      <c r="E71" s="7">
        <f>E70+C71</f>
        <v/>
      </c>
      <c r="F71" s="7">
        <f>D71/160+E71</f>
        <v/>
      </c>
      <c r="G71" s="7">
        <f>MAX((80-F71)*160,0)</f>
        <v/>
      </c>
      <c r="H71" s="7">
        <f>IF(21&gt;=21,SUMPRODUCT(B51:B71+C51:C71*160)/21,0)</f>
        <v/>
      </c>
      <c r="I71" s="7">
        <f>IF(H71&gt;0,G71/H71,0)</f>
        <v/>
      </c>
    </row>
    <row r="72">
      <c r="A72" s="8" t="inlineStr">
        <is>
          <t>2026-06-13</t>
        </is>
      </c>
      <c r="B72" s="9" t="n">
        <v>0</v>
      </c>
      <c r="C72" s="9" t="n">
        <v>0</v>
      </c>
      <c r="D72" s="10">
        <f>D71+B72</f>
        <v/>
      </c>
      <c r="E72" s="10">
        <f>E71+C72</f>
        <v/>
      </c>
      <c r="F72" s="10">
        <f>D72/160+E72</f>
        <v/>
      </c>
      <c r="G72" s="10">
        <f>MAX((80-F72)*160,0)</f>
        <v/>
      </c>
      <c r="H72" s="10">
        <f>IF(21&gt;=21,SUMPRODUCT(B52:B72+C52:C72*160)/21,0)</f>
        <v/>
      </c>
      <c r="I72" s="10">
        <f>IF(H72&gt;0,G72/H72,0)</f>
        <v/>
      </c>
    </row>
    <row r="73">
      <c r="A73" s="5" t="inlineStr">
        <is>
          <t>2026-06-14</t>
        </is>
      </c>
      <c r="B73" s="6" t="n">
        <v>0</v>
      </c>
      <c r="C73" s="6" t="n">
        <v>0</v>
      </c>
      <c r="D73" s="7">
        <f>D72+B73</f>
        <v/>
      </c>
      <c r="E73" s="7">
        <f>E72+C73</f>
        <v/>
      </c>
      <c r="F73" s="7">
        <f>D73/160+E73</f>
        <v/>
      </c>
      <c r="G73" s="7">
        <f>MAX((80-F73)*160,0)</f>
        <v/>
      </c>
      <c r="H73" s="7">
        <f>IF(21&gt;=21,SUMPRODUCT(B53:B73+C53:C73*160)/21,0)</f>
        <v/>
      </c>
      <c r="I73" s="7">
        <f>IF(H73&gt;0,G73/H73,0)</f>
        <v/>
      </c>
    </row>
    <row r="74">
      <c r="A74" s="8" t="inlineStr">
        <is>
          <t>2026-06-15</t>
        </is>
      </c>
      <c r="B74" s="9" t="n">
        <v>0</v>
      </c>
      <c r="C74" s="9" t="n">
        <v>0</v>
      </c>
      <c r="D74" s="10">
        <f>D73+B74</f>
        <v/>
      </c>
      <c r="E74" s="10">
        <f>E73+C74</f>
        <v/>
      </c>
      <c r="F74" s="10">
        <f>D74/160+E74</f>
        <v/>
      </c>
      <c r="G74" s="10">
        <f>MAX((80-F74)*160,0)</f>
        <v/>
      </c>
      <c r="H74" s="10">
        <f>IF(21&gt;=21,SUMPRODUCT(B54:B74+C54:C74*160)/21,0)</f>
        <v/>
      </c>
      <c r="I74" s="10">
        <f>IF(H74&gt;0,G74/H74,0)</f>
        <v/>
      </c>
    </row>
    <row r="75">
      <c r="A75" s="5" t="inlineStr">
        <is>
          <t>2026-06-16</t>
        </is>
      </c>
      <c r="B75" s="6" t="n">
        <v>0</v>
      </c>
      <c r="C75" s="6" t="n">
        <v>0</v>
      </c>
      <c r="D75" s="7">
        <f>D74+B75</f>
        <v/>
      </c>
      <c r="E75" s="7">
        <f>E74+C75</f>
        <v/>
      </c>
      <c r="F75" s="7">
        <f>D75/160+E75</f>
        <v/>
      </c>
      <c r="G75" s="7">
        <f>MAX((80-F75)*160,0)</f>
        <v/>
      </c>
      <c r="H75" s="7">
        <f>IF(21&gt;=21,SUMPRODUCT(B55:B75+C55:C75*160)/21,0)</f>
        <v/>
      </c>
      <c r="I75" s="7">
        <f>IF(H75&gt;0,G75/H75,0)</f>
        <v/>
      </c>
    </row>
    <row r="76">
      <c r="A76" s="8" t="inlineStr">
        <is>
          <t>2026-06-17</t>
        </is>
      </c>
      <c r="B76" s="9" t="n">
        <v>0</v>
      </c>
      <c r="C76" s="9" t="n">
        <v>0</v>
      </c>
      <c r="D76" s="10">
        <f>D75+B76</f>
        <v/>
      </c>
      <c r="E76" s="10">
        <f>E75+C76</f>
        <v/>
      </c>
      <c r="F76" s="10">
        <f>D76/160+E76</f>
        <v/>
      </c>
      <c r="G76" s="10">
        <f>MAX((80-F76)*160,0)</f>
        <v/>
      </c>
      <c r="H76" s="10">
        <f>IF(21&gt;=21,SUMPRODUCT(B56:B76+C56:C76*160)/21,0)</f>
        <v/>
      </c>
      <c r="I76" s="10">
        <f>IF(H76&gt;0,G76/H76,0)</f>
        <v/>
      </c>
    </row>
    <row r="77">
      <c r="A77" s="5" t="inlineStr">
        <is>
          <t>2026-06-18</t>
        </is>
      </c>
      <c r="B77" s="6" t="n">
        <v>1031</v>
      </c>
      <c r="C77" s="6" t="n">
        <v>0</v>
      </c>
      <c r="D77" s="7">
        <f>D76+B77</f>
        <v/>
      </c>
      <c r="E77" s="7">
        <f>E76+C77</f>
        <v/>
      </c>
      <c r="F77" s="7">
        <f>D77/160+E77</f>
        <v/>
      </c>
      <c r="G77" s="7">
        <f>MAX((80-F77)*160,0)</f>
        <v/>
      </c>
      <c r="H77" s="7">
        <f>IF(21&gt;=21,SUMPRODUCT(B57:B77+C57:C77*160)/21,0)</f>
        <v/>
      </c>
      <c r="I77" s="7">
        <f>IF(H77&gt;0,G77/H77,0)</f>
        <v/>
      </c>
    </row>
    <row r="78">
      <c r="A78" s="8" t="inlineStr">
        <is>
          <t>2026-06-19</t>
        </is>
      </c>
      <c r="B78" s="9" t="n">
        <v>0</v>
      </c>
      <c r="C78" s="9" t="n">
        <v>0</v>
      </c>
      <c r="D78" s="10">
        <f>D77+B78</f>
        <v/>
      </c>
      <c r="E78" s="10">
        <f>E77+C78</f>
        <v/>
      </c>
      <c r="F78" s="10">
        <f>D78/160+E78</f>
        <v/>
      </c>
      <c r="G78" s="10">
        <f>MAX((80-F78)*160,0)</f>
        <v/>
      </c>
      <c r="H78" s="10">
        <f>IF(21&gt;=21,SUMPRODUCT(B58:B78+C58:C78*160)/21,0)</f>
        <v/>
      </c>
      <c r="I78" s="10">
        <f>IF(H78&gt;0,G78/H78,0)</f>
        <v/>
      </c>
    </row>
    <row r="79">
      <c r="A79" s="5" t="inlineStr">
        <is>
          <t>2026-06-20</t>
        </is>
      </c>
      <c r="B79" s="6" t="n">
        <v>0</v>
      </c>
      <c r="C79" s="6" t="n">
        <v>0</v>
      </c>
      <c r="D79" s="7">
        <f>D78+B79</f>
        <v/>
      </c>
      <c r="E79" s="7">
        <f>E78+C79</f>
        <v/>
      </c>
      <c r="F79" s="7">
        <f>D79/160+E79</f>
        <v/>
      </c>
      <c r="G79" s="7">
        <f>MAX((80-F79)*160,0)</f>
        <v/>
      </c>
      <c r="H79" s="7">
        <f>IF(21&gt;=21,SUMPRODUCT(B59:B79+C59:C79*160)/21,0)</f>
        <v/>
      </c>
      <c r="I79" s="7">
        <f>IF(H79&gt;0,G79/H79,0)</f>
        <v/>
      </c>
    </row>
    <row r="80">
      <c r="A80" s="8" t="inlineStr">
        <is>
          <t>2026-06-21</t>
        </is>
      </c>
      <c r="B80" s="9" t="n">
        <v>0</v>
      </c>
      <c r="C80" s="9" t="n">
        <v>0</v>
      </c>
      <c r="D80" s="10">
        <f>D79+B80</f>
        <v/>
      </c>
      <c r="E80" s="10">
        <f>E79+C80</f>
        <v/>
      </c>
      <c r="F80" s="10">
        <f>D80/160+E80</f>
        <v/>
      </c>
      <c r="G80" s="10">
        <f>MAX((80-F80)*160,0)</f>
        <v/>
      </c>
      <c r="H80" s="10">
        <f>IF(21&gt;=21,SUMPRODUCT(B60:B80+C60:C80*160)/21,0)</f>
        <v/>
      </c>
      <c r="I80" s="10">
        <f>IF(H80&gt;0,G80/H80,0)</f>
        <v/>
      </c>
    </row>
    <row r="81">
      <c r="A81" s="5" t="inlineStr">
        <is>
          <t>2026-06-22</t>
        </is>
      </c>
      <c r="B81" s="6" t="n">
        <v>0</v>
      </c>
      <c r="C81" s="6" t="n">
        <v>0</v>
      </c>
      <c r="D81" s="7">
        <f>D80+B81</f>
        <v/>
      </c>
      <c r="E81" s="7">
        <f>E80+C81</f>
        <v/>
      </c>
      <c r="F81" s="7">
        <f>D81/160+E81</f>
        <v/>
      </c>
      <c r="G81" s="7">
        <f>MAX((80-F81)*160,0)</f>
        <v/>
      </c>
      <c r="H81" s="7">
        <f>IF(21&gt;=21,SUMPRODUCT(B61:B81+C61:C81*160)/21,0)</f>
        <v/>
      </c>
      <c r="I81" s="7">
        <f>IF(H81&gt;0,G81/H81,0)</f>
        <v/>
      </c>
    </row>
    <row r="82">
      <c r="A82" s="8" t="inlineStr">
        <is>
          <t>2026-06-23</t>
        </is>
      </c>
      <c r="B82" s="9" t="n">
        <v>0</v>
      </c>
      <c r="C82" s="9" t="n">
        <v>0</v>
      </c>
      <c r="D82" s="10">
        <f>D81+B82</f>
        <v/>
      </c>
      <c r="E82" s="10">
        <f>E81+C82</f>
        <v/>
      </c>
      <c r="F82" s="10">
        <f>D82/160+E82</f>
        <v/>
      </c>
      <c r="G82" s="10">
        <f>MAX((80-F82)*160,0)</f>
        <v/>
      </c>
      <c r="H82" s="10">
        <f>IF(21&gt;=21,SUMPRODUCT(B62:B82+C62:C82*160)/21,0)</f>
        <v/>
      </c>
      <c r="I82" s="10">
        <f>IF(H82&gt;0,G82/H82,0)</f>
        <v/>
      </c>
    </row>
    <row r="83">
      <c r="A83" s="5" t="inlineStr">
        <is>
          <t>2026-06-24</t>
        </is>
      </c>
      <c r="B83" s="6" t="n">
        <v>0</v>
      </c>
      <c r="C83" s="6" t="n">
        <v>0</v>
      </c>
      <c r="D83" s="7">
        <f>D82+B83</f>
        <v/>
      </c>
      <c r="E83" s="7">
        <f>E82+C83</f>
        <v/>
      </c>
      <c r="F83" s="7">
        <f>D83/160+E83</f>
        <v/>
      </c>
      <c r="G83" s="7">
        <f>MAX((80-F83)*160,0)</f>
        <v/>
      </c>
      <c r="H83" s="7">
        <f>IF(21&gt;=21,SUMPRODUCT(B63:B83+C63:C83*160)/21,0)</f>
        <v/>
      </c>
      <c r="I83" s="7">
        <f>IF(H83&gt;0,G83/H83,0)</f>
        <v/>
      </c>
    </row>
    <row r="84">
      <c r="A84" s="8" t="inlineStr">
        <is>
          <t>2026-06-25</t>
        </is>
      </c>
      <c r="B84" s="9" t="n">
        <v>0</v>
      </c>
      <c r="C84" s="9" t="n">
        <v>0</v>
      </c>
      <c r="D84" s="10">
        <f>D83+B84</f>
        <v/>
      </c>
      <c r="E84" s="10">
        <f>E83+C84</f>
        <v/>
      </c>
      <c r="F84" s="10">
        <f>D84/160+E84</f>
        <v/>
      </c>
      <c r="G84" s="10">
        <f>MAX((80-F84)*160,0)</f>
        <v/>
      </c>
      <c r="H84" s="10">
        <f>IF(21&gt;=21,SUMPRODUCT(B64:B84+C64:C84*160)/21,0)</f>
        <v/>
      </c>
      <c r="I84" s="10">
        <f>IF(H84&gt;0,G84/H84,0)</f>
        <v/>
      </c>
    </row>
    <row r="85">
      <c r="A85" s="5" t="inlineStr">
        <is>
          <t>2026-06-26</t>
        </is>
      </c>
      <c r="B85" s="6" t="n">
        <v>0</v>
      </c>
      <c r="C85" s="6" t="n">
        <v>0</v>
      </c>
      <c r="D85" s="7">
        <f>D84+B85</f>
        <v/>
      </c>
      <c r="E85" s="7">
        <f>E84+C85</f>
        <v/>
      </c>
      <c r="F85" s="7">
        <f>D85/160+E85</f>
        <v/>
      </c>
      <c r="G85" s="7">
        <f>MAX((80-F85)*160,0)</f>
        <v/>
      </c>
      <c r="H85" s="7">
        <f>IF(21&gt;=21,SUMPRODUCT(B65:B85+C65:C85*160)/21,0)</f>
        <v/>
      </c>
      <c r="I85" s="7">
        <f>IF(H85&gt;0,G85/H85,0)</f>
        <v/>
      </c>
    </row>
    <row r="86">
      <c r="A86" s="8" t="inlineStr">
        <is>
          <t>2026-06-27</t>
        </is>
      </c>
      <c r="B86" s="9" t="n">
        <v>0</v>
      </c>
      <c r="C86" s="9" t="n">
        <v>0</v>
      </c>
      <c r="D86" s="10">
        <f>D85+B86</f>
        <v/>
      </c>
      <c r="E86" s="10">
        <f>E85+C86</f>
        <v/>
      </c>
      <c r="F86" s="10">
        <f>D86/160+E86</f>
        <v/>
      </c>
      <c r="G86" s="10">
        <f>MAX((80-F86)*160,0)</f>
        <v/>
      </c>
      <c r="H86" s="10">
        <f>IF(21&gt;=21,SUMPRODUCT(B66:B86+C66:C86*160)/21,0)</f>
        <v/>
      </c>
      <c r="I86" s="10">
        <f>IF(H86&gt;0,G86/H86,0)</f>
        <v/>
      </c>
    </row>
    <row r="87">
      <c r="A87" s="5" t="inlineStr">
        <is>
          <t>2026-06-28</t>
        </is>
      </c>
      <c r="B87" s="6" t="n">
        <v>0</v>
      </c>
      <c r="C87" s="6" t="n">
        <v>0</v>
      </c>
      <c r="D87" s="7">
        <f>D86+B87</f>
        <v/>
      </c>
      <c r="E87" s="7">
        <f>E86+C87</f>
        <v/>
      </c>
      <c r="F87" s="7">
        <f>D87/160+E87</f>
        <v/>
      </c>
      <c r="G87" s="7">
        <f>MAX((80-F87)*160,0)</f>
        <v/>
      </c>
      <c r="H87" s="7">
        <f>IF(21&gt;=21,SUMPRODUCT(B67:B87+C67:C87*160)/21,0)</f>
        <v/>
      </c>
      <c r="I87" s="7">
        <f>IF(H87&gt;0,G87/H87,0)</f>
        <v/>
      </c>
    </row>
    <row r="88">
      <c r="A88" s="8" t="inlineStr">
        <is>
          <t>2026-06-29</t>
        </is>
      </c>
      <c r="B88" s="9" t="n">
        <v>0</v>
      </c>
      <c r="C88" s="9" t="n">
        <v>0</v>
      </c>
      <c r="D88" s="10">
        <f>D87+B88</f>
        <v/>
      </c>
      <c r="E88" s="10">
        <f>E87+C88</f>
        <v/>
      </c>
      <c r="F88" s="10">
        <f>D88/160+E88</f>
        <v/>
      </c>
      <c r="G88" s="10">
        <f>MAX((80-F88)*160,0)</f>
        <v/>
      </c>
      <c r="H88" s="10">
        <f>IF(21&gt;=21,SUMPRODUCT(B68:B88+C68:C88*160)/21,0)</f>
        <v/>
      </c>
      <c r="I88" s="10">
        <f>IF(H88&gt;0,G88/H88,0)</f>
        <v/>
      </c>
    </row>
    <row r="89">
      <c r="A89" s="5" t="inlineStr">
        <is>
          <t>2026-06-30</t>
        </is>
      </c>
      <c r="B89" s="6" t="n">
        <v>0</v>
      </c>
      <c r="C89" s="6" t="n">
        <v>0</v>
      </c>
      <c r="D89" s="7">
        <f>D88+B89</f>
        <v/>
      </c>
      <c r="E89" s="7">
        <f>E88+C89</f>
        <v/>
      </c>
      <c r="F89" s="7">
        <f>D89/160+E89</f>
        <v/>
      </c>
      <c r="G89" s="7">
        <f>MAX((80-F89)*160,0)</f>
        <v/>
      </c>
      <c r="H89" s="7">
        <f>IF(21&gt;=21,SUMPRODUCT(B69:B89+C69:C89*160)/21,0)</f>
        <v/>
      </c>
      <c r="I89" s="7">
        <f>IF(H89&gt;0,G89/H89,0)</f>
        <v/>
      </c>
    </row>
    <row r="90">
      <c r="A90" s="8" t="inlineStr">
        <is>
          <t>2026-07-01</t>
        </is>
      </c>
      <c r="B90" s="9" t="n">
        <v>0</v>
      </c>
      <c r="C90" s="9" t="n">
        <v>0</v>
      </c>
      <c r="D90" s="10">
        <f>D89+B90</f>
        <v/>
      </c>
      <c r="E90" s="10">
        <f>E89+C90</f>
        <v/>
      </c>
      <c r="F90" s="10">
        <f>D90/160+E90</f>
        <v/>
      </c>
      <c r="G90" s="10">
        <f>MAX((80-F90)*160,0)</f>
        <v/>
      </c>
      <c r="H90" s="10">
        <f>IF(21&gt;=21,SUMPRODUCT(B70:B90+C70:C90*160)/21,0)</f>
        <v/>
      </c>
      <c r="I90" s="10">
        <f>IF(H90&gt;0,G90/H90,0)</f>
        <v/>
      </c>
    </row>
    <row r="91">
      <c r="A91" s="5" t="inlineStr">
        <is>
          <t>2026-07-02</t>
        </is>
      </c>
      <c r="B91" s="6" t="n">
        <v>288</v>
      </c>
      <c r="C91" s="6" t="n">
        <v>0</v>
      </c>
      <c r="D91" s="7">
        <f>D90+B91</f>
        <v/>
      </c>
      <c r="E91" s="7">
        <f>E90+C91</f>
        <v/>
      </c>
      <c r="F91" s="7">
        <f>D91/160+E91</f>
        <v/>
      </c>
      <c r="G91" s="7">
        <f>MAX((80-F91)*160,0)</f>
        <v/>
      </c>
      <c r="H91" s="7">
        <f>IF(21&gt;=21,SUMPRODUCT(B71:B91+C71:C91*160)/21,0)</f>
        <v/>
      </c>
      <c r="I91" s="7">
        <f>IF(H91&gt;0,G91/H91,0)</f>
        <v/>
      </c>
    </row>
    <row r="92">
      <c r="A92" s="8" t="inlineStr">
        <is>
          <t>2026-07-03</t>
        </is>
      </c>
      <c r="B92" s="9" t="n">
        <v>0</v>
      </c>
      <c r="C92" s="9" t="n">
        <v>0</v>
      </c>
      <c r="D92" s="10">
        <f>D91+B92</f>
        <v/>
      </c>
      <c r="E92" s="10">
        <f>E91+C92</f>
        <v/>
      </c>
      <c r="F92" s="10">
        <f>D92/160+E92</f>
        <v/>
      </c>
      <c r="G92" s="10">
        <f>MAX((80-F92)*160,0)</f>
        <v/>
      </c>
      <c r="H92" s="10">
        <f>IF(21&gt;=21,SUMPRODUCT(B72:B92+C72:C92*160)/21,0)</f>
        <v/>
      </c>
      <c r="I92" s="10">
        <f>IF(H92&gt;0,G92/H92,0)</f>
        <v/>
      </c>
    </row>
    <row r="93">
      <c r="A93" s="5" t="inlineStr">
        <is>
          <t>2026-07-04</t>
        </is>
      </c>
      <c r="B93" s="6" t="n">
        <v>0</v>
      </c>
      <c r="C93" s="6" t="n">
        <v>0</v>
      </c>
      <c r="D93" s="7">
        <f>D92+B93</f>
        <v/>
      </c>
      <c r="E93" s="7">
        <f>E92+C93</f>
        <v/>
      </c>
      <c r="F93" s="7">
        <f>D93/160+E93</f>
        <v/>
      </c>
      <c r="G93" s="7">
        <f>MAX((80-F93)*160,0)</f>
        <v/>
      </c>
      <c r="H93" s="7">
        <f>IF(21&gt;=21,SUMPRODUCT(B73:B93+C73:C93*160)/21,0)</f>
        <v/>
      </c>
      <c r="I93" s="7">
        <f>IF(H93&gt;0,G93/H93,0)</f>
        <v/>
      </c>
    </row>
    <row r="94">
      <c r="A94" s="8" t="inlineStr">
        <is>
          <t>2026-07-05</t>
        </is>
      </c>
      <c r="B94" s="9" t="n">
        <v>120</v>
      </c>
      <c r="C94" s="9" t="n">
        <v>0</v>
      </c>
      <c r="D94" s="10">
        <f>D93+B94</f>
        <v/>
      </c>
      <c r="E94" s="10">
        <f>E93+C94</f>
        <v/>
      </c>
      <c r="F94" s="10">
        <f>D94/160+E94</f>
        <v/>
      </c>
      <c r="G94" s="10">
        <f>MAX((80-F94)*160,0)</f>
        <v/>
      </c>
      <c r="H94" s="10">
        <f>IF(21&gt;=21,SUMPRODUCT(B74:B94+C74:C94*160)/21,0)</f>
        <v/>
      </c>
      <c r="I94" s="10">
        <f>IF(H94&gt;0,G94/H94,0)</f>
        <v/>
      </c>
    </row>
    <row r="95">
      <c r="A95" s="5" t="inlineStr">
        <is>
          <t>2026-07-06</t>
        </is>
      </c>
      <c r="B95" s="6" t="n">
        <v>18</v>
      </c>
      <c r="C95" s="6" t="n">
        <v>0</v>
      </c>
      <c r="D95" s="7">
        <f>D94+B95</f>
        <v/>
      </c>
      <c r="E95" s="7">
        <f>E94+C95</f>
        <v/>
      </c>
      <c r="F95" s="7">
        <f>D95/160+E95</f>
        <v/>
      </c>
      <c r="G95" s="7">
        <f>MAX((80-F95)*160,0)</f>
        <v/>
      </c>
      <c r="H95" s="7">
        <f>IF(21&gt;=21,SUMPRODUCT(B75:B95+C75:C95*160)/21,0)</f>
        <v/>
      </c>
      <c r="I95" s="7">
        <f>IF(H95&gt;0,G95/H95,0)</f>
        <v/>
      </c>
    </row>
    <row r="96">
      <c r="A96" s="8" t="inlineStr">
        <is>
          <t>2026-07-07</t>
        </is>
      </c>
      <c r="B96" s="9" t="n">
        <v>0</v>
      </c>
      <c r="C96" s="9" t="n">
        <v>0</v>
      </c>
      <c r="D96" s="10">
        <f>D95+B96</f>
        <v/>
      </c>
      <c r="E96" s="10">
        <f>E95+C96</f>
        <v/>
      </c>
      <c r="F96" s="10">
        <f>D96/160+E96</f>
        <v/>
      </c>
      <c r="G96" s="10">
        <f>MAX((80-F96)*160,0)</f>
        <v/>
      </c>
      <c r="H96" s="10">
        <f>IF(21&gt;=21,SUMPRODUCT(B76:B96+C76:C96*160)/21,0)</f>
        <v/>
      </c>
      <c r="I96" s="10">
        <f>IF(H96&gt;0,G96/H96,0)</f>
        <v/>
      </c>
    </row>
    <row r="97">
      <c r="A97" s="5" t="inlineStr">
        <is>
          <t>2026-07-08</t>
        </is>
      </c>
      <c r="B97" s="6" t="n">
        <v>0</v>
      </c>
      <c r="C97" s="6" t="n">
        <v>0</v>
      </c>
      <c r="D97" s="7">
        <f>D96+B97</f>
        <v/>
      </c>
      <c r="E97" s="7">
        <f>E96+C97</f>
        <v/>
      </c>
      <c r="F97" s="7">
        <f>D97/160+E97</f>
        <v/>
      </c>
      <c r="G97" s="7">
        <f>MAX((80-F97)*160,0)</f>
        <v/>
      </c>
      <c r="H97" s="7">
        <f>IF(21&gt;=21,SUMPRODUCT(B77:B97+C77:C97*160)/21,0)</f>
        <v/>
      </c>
      <c r="I97" s="7">
        <f>IF(H97&gt;0,G97/H97,0)</f>
        <v/>
      </c>
    </row>
    <row r="98">
      <c r="A98" s="8" t="inlineStr">
        <is>
          <t>2026-07-09</t>
        </is>
      </c>
      <c r="B98" s="9" t="n">
        <v>0</v>
      </c>
      <c r="C98" s="9" t="n">
        <v>0</v>
      </c>
      <c r="D98" s="10">
        <f>D97+B98</f>
        <v/>
      </c>
      <c r="E98" s="10">
        <f>E97+C98</f>
        <v/>
      </c>
      <c r="F98" s="10">
        <f>D98/160+E98</f>
        <v/>
      </c>
      <c r="G98" s="10">
        <f>MAX((80-F98)*160,0)</f>
        <v/>
      </c>
      <c r="H98" s="10">
        <f>IF(21&gt;=21,SUMPRODUCT(B78:B98+C78:C98*160)/21,0)</f>
        <v/>
      </c>
      <c r="I98" s="10">
        <f>IF(H98&gt;0,G98/H98,0)</f>
        <v/>
      </c>
    </row>
    <row r="99">
      <c r="A99" s="5" t="inlineStr">
        <is>
          <t>2026-07-10</t>
        </is>
      </c>
      <c r="B99" s="6" t="n">
        <v>0</v>
      </c>
      <c r="C99" s="6" t="n">
        <v>0</v>
      </c>
      <c r="D99" s="7">
        <f>D98+B99</f>
        <v/>
      </c>
      <c r="E99" s="7">
        <f>E98+C99</f>
        <v/>
      </c>
      <c r="F99" s="7">
        <f>D99/160+E99</f>
        <v/>
      </c>
      <c r="G99" s="7">
        <f>MAX((80-F99)*160,0)</f>
        <v/>
      </c>
      <c r="H99" s="7">
        <f>IF(21&gt;=21,SUMPRODUCT(B79:B99+C79:C99*160)/21,0)</f>
        <v/>
      </c>
      <c r="I99" s="7">
        <f>IF(H99&gt;0,G99/H99,0)</f>
        <v/>
      </c>
    </row>
    <row r="100">
      <c r="A100" s="8" t="inlineStr">
        <is>
          <t>2026-07-11</t>
        </is>
      </c>
      <c r="B100" s="9" t="n">
        <v>0</v>
      </c>
      <c r="C100" s="9" t="n">
        <v>0</v>
      </c>
      <c r="D100" s="10">
        <f>D99+B100</f>
        <v/>
      </c>
      <c r="E100" s="10">
        <f>E99+C100</f>
        <v/>
      </c>
      <c r="F100" s="10">
        <f>D100/160+E100</f>
        <v/>
      </c>
      <c r="G100" s="10">
        <f>MAX((80-F100)*160,0)</f>
        <v/>
      </c>
      <c r="H100" s="10">
        <f>IF(21&gt;=21,SUMPRODUCT(B80:B100+C80:C100*160)/21,0)</f>
        <v/>
      </c>
      <c r="I100" s="10">
        <f>IF(H100&gt;0,G100/H100,0)</f>
        <v/>
      </c>
    </row>
    <row r="101">
      <c r="A101" s="5" t="inlineStr">
        <is>
          <t>2026-07-12</t>
        </is>
      </c>
      <c r="B101" s="6" t="n">
        <v>0</v>
      </c>
      <c r="C101" s="6" t="n">
        <v>0</v>
      </c>
      <c r="D101" s="7">
        <f>D100+B101</f>
        <v/>
      </c>
      <c r="E101" s="7">
        <f>E100+C101</f>
        <v/>
      </c>
      <c r="F101" s="7">
        <f>D101/160+E101</f>
        <v/>
      </c>
      <c r="G101" s="7">
        <f>MAX((80-F101)*160,0)</f>
        <v/>
      </c>
      <c r="H101" s="7">
        <f>IF(21&gt;=21,SUMPRODUCT(B81:B101+C81:C101*160)/21,0)</f>
        <v/>
      </c>
      <c r="I101" s="7">
        <f>IF(H101&gt;0,G101/H101,0)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2026-07-12T18:14:04Z</dcterms:modified>
  <cp:lastModifiedBy>Rianna Santra</cp:lastModifiedBy>
</cp:coreProperties>
</file>