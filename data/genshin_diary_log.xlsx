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8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  <row r="19">
      <c r="A19" s="5" t="inlineStr">
        <is>
          <t>2026-04-21</t>
        </is>
      </c>
      <c r="B19" s="6" t="n">
        <v>60</v>
      </c>
      <c r="C19" s="6" t="n">
        <v>0</v>
      </c>
      <c r="D19" s="7">
        <f>D18+B19</f>
        <v/>
      </c>
      <c r="E19" s="7">
        <f>E18+C19</f>
        <v/>
      </c>
      <c r="F19" s="7">
        <f>D19/160+E19</f>
        <v/>
      </c>
      <c r="G19" s="7">
        <f>MAX((80-F19)*160,0)</f>
        <v/>
      </c>
      <c r="H19" s="7">
        <f>IF(18&gt;=21,SUMPRODUCT(B2:B19+C2:C19*160)/21,0)</f>
        <v/>
      </c>
      <c r="I19" s="7">
        <f>IF(H19&gt;0,G19/H19,0)</f>
        <v/>
      </c>
    </row>
    <row r="20">
      <c r="A20" s="8" t="inlineStr">
        <is>
          <t>2026-04-22</t>
        </is>
      </c>
      <c r="B20" s="9" t="n">
        <v>60</v>
      </c>
      <c r="C20" s="9" t="n">
        <v>0</v>
      </c>
      <c r="D20" s="10">
        <f>D19+B20</f>
        <v/>
      </c>
      <c r="E20" s="10">
        <f>E19+C20</f>
        <v/>
      </c>
      <c r="F20" s="10">
        <f>D20/160+E20</f>
        <v/>
      </c>
      <c r="G20" s="10">
        <f>MAX((80-F20)*160,0)</f>
        <v/>
      </c>
      <c r="H20" s="10">
        <f>IF(19&gt;=21,SUMPRODUCT(B2:B20+C2:C20*160)/21,0)</f>
        <v/>
      </c>
      <c r="I20" s="10">
        <f>IF(H20&gt;0,G20/H20,0)</f>
        <v/>
      </c>
    </row>
    <row r="21">
      <c r="A21" s="5" t="inlineStr">
        <is>
          <t>2026-04-23</t>
        </is>
      </c>
      <c r="B21" s="6" t="n">
        <v>0</v>
      </c>
      <c r="C21" s="6" t="n">
        <v>0</v>
      </c>
      <c r="D21" s="7">
        <f>D20+B21</f>
        <v/>
      </c>
      <c r="E21" s="7">
        <f>E20+C21</f>
        <v/>
      </c>
      <c r="F21" s="7">
        <f>D21/160+E21</f>
        <v/>
      </c>
      <c r="G21" s="7">
        <f>MAX((80-F21)*160,0)</f>
        <v/>
      </c>
      <c r="H21" s="7">
        <f>IF(20&gt;=21,SUMPRODUCT(B2:B21+C2:C21*160)/21,0)</f>
        <v/>
      </c>
      <c r="I21" s="7">
        <f>IF(H21&gt;0,G21/H21,0)</f>
        <v/>
      </c>
    </row>
    <row r="22">
      <c r="A22" s="8" t="inlineStr">
        <is>
          <t>2026-04-24</t>
        </is>
      </c>
      <c r="B22" s="9" t="n">
        <v>260</v>
      </c>
      <c r="C22" s="9" t="n">
        <v>0</v>
      </c>
      <c r="D22" s="10">
        <f>D21+B22</f>
        <v/>
      </c>
      <c r="E22" s="10">
        <f>E21+C22</f>
        <v/>
      </c>
      <c r="F22" s="10">
        <f>D22/160+E22</f>
        <v/>
      </c>
      <c r="G22" s="10">
        <f>MAX((80-F22)*160,0)</f>
        <v/>
      </c>
      <c r="H22" s="10">
        <f>IF(21&gt;=21,SUMPRODUCT(B2:B22+C2:C22*160)/21,0)</f>
        <v/>
      </c>
      <c r="I22" s="10">
        <f>IF(H22&gt;0,G22/H22,0)</f>
        <v/>
      </c>
    </row>
    <row r="23">
      <c r="A23" s="5" t="inlineStr">
        <is>
          <t>2026-04-25</t>
        </is>
      </c>
      <c r="B23" s="6" t="n">
        <v>60</v>
      </c>
      <c r="C23" s="6" t="n">
        <v>0</v>
      </c>
      <c r="D23" s="7">
        <f>D22+B23</f>
        <v/>
      </c>
      <c r="E23" s="7">
        <f>E22+C23</f>
        <v/>
      </c>
      <c r="F23" s="7">
        <f>D23/160+E23</f>
        <v/>
      </c>
      <c r="G23" s="7">
        <f>MAX((80-F23)*160,0)</f>
        <v/>
      </c>
      <c r="H23" s="7">
        <f>IF(21&gt;=21,SUMPRODUCT(B3:B23+C3:C23*160)/21,0)</f>
        <v/>
      </c>
      <c r="I23" s="7">
        <f>IF(H23&gt;0,G23/H23,0)</f>
        <v/>
      </c>
    </row>
    <row r="24">
      <c r="A24" s="8" t="inlineStr">
        <is>
          <t>2026-04-26</t>
        </is>
      </c>
      <c r="B24" s="9" t="n">
        <v>60</v>
      </c>
      <c r="C24" s="9" t="n">
        <v>0</v>
      </c>
      <c r="D24" s="10">
        <f>D23+B24</f>
        <v/>
      </c>
      <c r="E24" s="10">
        <f>E23+C24</f>
        <v/>
      </c>
      <c r="F24" s="10">
        <f>D24/160+E24</f>
        <v/>
      </c>
      <c r="G24" s="10">
        <f>MAX((80-F24)*160,0)</f>
        <v/>
      </c>
      <c r="H24" s="10">
        <f>IF(21&gt;=21,SUMPRODUCT(B4:B24+C4:C24*160)/21,0)</f>
        <v/>
      </c>
      <c r="I24" s="10">
        <f>IF(H24&gt;0,G24/H24,0)</f>
        <v/>
      </c>
    </row>
    <row r="25">
      <c r="A25" s="5" t="inlineStr">
        <is>
          <t>2026-04-27</t>
        </is>
      </c>
      <c r="B25" s="6" t="n">
        <v>0</v>
      </c>
      <c r="C25" s="6" t="n">
        <v>0</v>
      </c>
      <c r="D25" s="7">
        <f>D24+B25</f>
        <v/>
      </c>
      <c r="E25" s="7">
        <f>E24+C25</f>
        <v/>
      </c>
      <c r="F25" s="7">
        <f>D25/160+E25</f>
        <v/>
      </c>
      <c r="G25" s="7">
        <f>MAX((80-F25)*160,0)</f>
        <v/>
      </c>
      <c r="H25" s="7">
        <f>IF(21&gt;=21,SUMPRODUCT(B5:B25+C5:C25*160)/21,0)</f>
        <v/>
      </c>
      <c r="I25" s="7">
        <f>IF(H25&gt;0,G25/H25,0)</f>
        <v/>
      </c>
    </row>
    <row r="26">
      <c r="A26" s="8" t="inlineStr">
        <is>
          <t>2026-04-28</t>
        </is>
      </c>
      <c r="B26" s="9" t="n">
        <v>0</v>
      </c>
      <c r="C26" s="9" t="n">
        <v>0</v>
      </c>
      <c r="D26" s="10">
        <f>D25+B26</f>
        <v/>
      </c>
      <c r="E26" s="10">
        <f>E25+C26</f>
        <v/>
      </c>
      <c r="F26" s="10">
        <f>D26/160+E26</f>
        <v/>
      </c>
      <c r="G26" s="10">
        <f>MAX((80-F26)*160,0)</f>
        <v/>
      </c>
      <c r="H26" s="10">
        <f>IF(21&gt;=21,SUMPRODUCT(B6:B26+C6:C26*160)/21,0)</f>
        <v/>
      </c>
      <c r="I26" s="10">
        <f>IF(H26&gt;0,G26/H26,0)</f>
        <v/>
      </c>
    </row>
    <row r="27">
      <c r="A27" s="5" t="inlineStr">
        <is>
          <t>2026-04-29</t>
        </is>
      </c>
      <c r="B27" s="6" t="n">
        <v>0</v>
      </c>
      <c r="C27" s="6" t="n">
        <v>0</v>
      </c>
      <c r="D27" s="7">
        <f>D26+B27</f>
        <v/>
      </c>
      <c r="E27" s="7">
        <f>E26+C27</f>
        <v/>
      </c>
      <c r="F27" s="7">
        <f>D27/160+E27</f>
        <v/>
      </c>
      <c r="G27" s="7">
        <f>MAX((80-F27)*160,0)</f>
        <v/>
      </c>
      <c r="H27" s="7">
        <f>IF(21&gt;=21,SUMPRODUCT(B7:B27+C7:C27*160)/21,0)</f>
        <v/>
      </c>
      <c r="I27" s="7">
        <f>IF(H27&gt;0,G27/H27,0)</f>
        <v/>
      </c>
    </row>
    <row r="28">
      <c r="A28" s="8" t="inlineStr">
        <is>
          <t>2026-04-30</t>
        </is>
      </c>
      <c r="B28" s="9" t="n">
        <v>0</v>
      </c>
      <c r="C28" s="9" t="n">
        <v>0</v>
      </c>
      <c r="D28" s="10">
        <f>D27+B28</f>
        <v/>
      </c>
      <c r="E28" s="10">
        <f>E27+C28</f>
        <v/>
      </c>
      <c r="F28" s="10">
        <f>D28/160+E28</f>
        <v/>
      </c>
      <c r="G28" s="10">
        <f>MAX((80-F28)*160,0)</f>
        <v/>
      </c>
      <c r="H28" s="10">
        <f>IF(21&gt;=21,SUMPRODUCT(B8:B28+C8:C28*160)/21,0)</f>
        <v/>
      </c>
      <c r="I28" s="10">
        <f>IF(H28&gt;0,G28/H28,0)</f>
        <v/>
      </c>
    </row>
    <row r="29">
      <c r="A29" s="5" t="inlineStr">
        <is>
          <t>2026-05-01</t>
        </is>
      </c>
      <c r="B29" s="6" t="n">
        <v>0</v>
      </c>
      <c r="C29" s="6" t="n">
        <v>0</v>
      </c>
      <c r="D29" s="7">
        <f>D28+B29</f>
        <v/>
      </c>
      <c r="E29" s="7">
        <f>E28+C29</f>
        <v/>
      </c>
      <c r="F29" s="7">
        <f>D29/160+E29</f>
        <v/>
      </c>
      <c r="G29" s="7">
        <f>MAX((80-F29)*160,0)</f>
        <v/>
      </c>
      <c r="H29" s="7">
        <f>IF(21&gt;=21,SUMPRODUCT(B9:B29+C9:C29*160)/21,0)</f>
        <v/>
      </c>
      <c r="I29" s="7">
        <f>IF(H29&gt;0,G29/H29,0)</f>
        <v/>
      </c>
    </row>
    <row r="30">
      <c r="A30" s="8" t="inlineStr">
        <is>
          <t>2026-05-02</t>
        </is>
      </c>
      <c r="B30" s="9" t="n">
        <v>0</v>
      </c>
      <c r="C30" s="9" t="n">
        <v>0</v>
      </c>
      <c r="D30" s="10">
        <f>D29+B30</f>
        <v/>
      </c>
      <c r="E30" s="10">
        <f>E29+C30</f>
        <v/>
      </c>
      <c r="F30" s="10">
        <f>D30/160+E30</f>
        <v/>
      </c>
      <c r="G30" s="10">
        <f>MAX((80-F30)*160,0)</f>
        <v/>
      </c>
      <c r="H30" s="10">
        <f>IF(21&gt;=21,SUMPRODUCT(B10:B30+C10:C30*160)/21,0)</f>
        <v/>
      </c>
      <c r="I30" s="10">
        <f>IF(H30&gt;0,G30/H30,0)</f>
        <v/>
      </c>
    </row>
    <row r="31">
      <c r="A31" s="5" t="inlineStr">
        <is>
          <t>2026-05-03</t>
        </is>
      </c>
      <c r="B31" s="6" t="n">
        <v>80</v>
      </c>
      <c r="C31" s="6" t="n">
        <v>0</v>
      </c>
      <c r="D31" s="7">
        <f>D30+B31</f>
        <v/>
      </c>
      <c r="E31" s="7">
        <f>E30+C31</f>
        <v/>
      </c>
      <c r="F31" s="7">
        <f>D31/160+E31</f>
        <v/>
      </c>
      <c r="G31" s="7">
        <f>MAX((80-F31)*160,0)</f>
        <v/>
      </c>
      <c r="H31" s="7">
        <f>IF(21&gt;=21,SUMPRODUCT(B11:B31+C11:C31*160)/21,0)</f>
        <v/>
      </c>
      <c r="I31" s="7">
        <f>IF(H31&gt;0,G31/H31,0)</f>
        <v/>
      </c>
    </row>
    <row r="32">
      <c r="A32" s="8" t="inlineStr">
        <is>
          <t>2026-05-04</t>
        </is>
      </c>
      <c r="B32" s="9" t="n">
        <v>0</v>
      </c>
      <c r="C32" s="9" t="n">
        <v>0</v>
      </c>
      <c r="D32" s="10">
        <f>D31+B32</f>
        <v/>
      </c>
      <c r="E32" s="10">
        <f>E31+C32</f>
        <v/>
      </c>
      <c r="F32" s="10">
        <f>D32/160+E32</f>
        <v/>
      </c>
      <c r="G32" s="10">
        <f>MAX((80-F32)*160,0)</f>
        <v/>
      </c>
      <c r="H32" s="10">
        <f>IF(21&gt;=21,SUMPRODUCT(B12:B32+C12:C32*160)/21,0)</f>
        <v/>
      </c>
      <c r="I32" s="10">
        <f>IF(H32&gt;0,G32/H32,0)</f>
        <v/>
      </c>
    </row>
    <row r="33">
      <c r="A33" s="5" t="inlineStr">
        <is>
          <t>2026-05-05</t>
        </is>
      </c>
      <c r="B33" s="6" t="n">
        <v>60</v>
      </c>
      <c r="C33" s="6" t="n">
        <v>0</v>
      </c>
      <c r="D33" s="7">
        <f>D32+B33</f>
        <v/>
      </c>
      <c r="E33" s="7">
        <f>E32+C33</f>
        <v/>
      </c>
      <c r="F33" s="7">
        <f>D33/160+E33</f>
        <v/>
      </c>
      <c r="G33" s="7">
        <f>MAX((80-F33)*160,0)</f>
        <v/>
      </c>
      <c r="H33" s="7">
        <f>IF(21&gt;=21,SUMPRODUCT(B13:B33+C13:C33*160)/21,0)</f>
        <v/>
      </c>
      <c r="I33" s="7">
        <f>IF(H33&gt;0,G33/H33,0)</f>
        <v/>
      </c>
    </row>
    <row r="34">
      <c r="A34" s="8" t="inlineStr">
        <is>
          <t>2026-05-06</t>
        </is>
      </c>
      <c r="B34" s="9" t="n">
        <v>10</v>
      </c>
      <c r="C34" s="9" t="n">
        <v>0</v>
      </c>
      <c r="D34" s="10">
        <f>D33+B34</f>
        <v/>
      </c>
      <c r="E34" s="10">
        <f>E33+C34</f>
        <v/>
      </c>
      <c r="F34" s="10">
        <f>D34/160+E34</f>
        <v/>
      </c>
      <c r="G34" s="10">
        <f>MAX((80-F34)*160,0)</f>
        <v/>
      </c>
      <c r="H34" s="10">
        <f>IF(21&gt;=21,SUMPRODUCT(B14:B34+C14:C34*160)/21,0)</f>
        <v/>
      </c>
      <c r="I34" s="10">
        <f>IF(H34&gt;0,G34/H34,0)</f>
        <v/>
      </c>
    </row>
    <row r="35">
      <c r="A35" s="5" t="inlineStr">
        <is>
          <t>2026-05-07</t>
        </is>
      </c>
      <c r="B35" s="6" t="n">
        <v>120</v>
      </c>
      <c r="C35" s="6" t="n">
        <v>0</v>
      </c>
      <c r="D35" s="7">
        <f>D34+B35</f>
        <v/>
      </c>
      <c r="E35" s="7">
        <f>E34+C35</f>
        <v/>
      </c>
      <c r="F35" s="7">
        <f>D35/160+E35</f>
        <v/>
      </c>
      <c r="G35" s="7">
        <f>MAX((80-F35)*160,0)</f>
        <v/>
      </c>
      <c r="H35" s="7">
        <f>IF(21&gt;=21,SUMPRODUCT(B15:B35+C15:C35*160)/21,0)</f>
        <v/>
      </c>
      <c r="I35" s="7">
        <f>IF(H35&gt;0,G35/H35,0)</f>
        <v/>
      </c>
    </row>
    <row r="36">
      <c r="A36" s="8" t="inlineStr">
        <is>
          <t>2026-05-08</t>
        </is>
      </c>
      <c r="B36" s="9" t="n">
        <v>420</v>
      </c>
      <c r="C36" s="9" t="n">
        <v>0</v>
      </c>
      <c r="D36" s="10">
        <f>D35+B36</f>
        <v/>
      </c>
      <c r="E36" s="10">
        <f>E35+C36</f>
        <v/>
      </c>
      <c r="F36" s="10">
        <f>D36/160+E36</f>
        <v/>
      </c>
      <c r="G36" s="10">
        <f>MAX((80-F36)*160,0)</f>
        <v/>
      </c>
      <c r="H36" s="10">
        <f>IF(21&gt;=21,SUMPRODUCT(B16:B36+C16:C36*160)/21,0)</f>
        <v/>
      </c>
      <c r="I36" s="10">
        <f>IF(H36&gt;0,G36/H36,0)</f>
        <v/>
      </c>
    </row>
    <row r="37">
      <c r="A37" s="5" t="inlineStr">
        <is>
          <t>2026-05-09</t>
        </is>
      </c>
      <c r="B37" s="6" t="n">
        <v>188</v>
      </c>
      <c r="C37" s="6" t="n">
        <v>0</v>
      </c>
      <c r="D37" s="7">
        <f>D36+B37</f>
        <v/>
      </c>
      <c r="E37" s="7">
        <f>E36+C37</f>
        <v/>
      </c>
      <c r="F37" s="7">
        <f>D37/160+E37</f>
        <v/>
      </c>
      <c r="G37" s="7">
        <f>MAX((80-F37)*160,0)</f>
        <v/>
      </c>
      <c r="H37" s="7">
        <f>IF(21&gt;=21,SUMPRODUCT(B17:B37+C17:C37*160)/21,0)</f>
        <v/>
      </c>
      <c r="I37" s="7">
        <f>IF(H37&gt;0,G37/H37,0)</f>
        <v/>
      </c>
    </row>
    <row r="38">
      <c r="A38" s="8" t="inlineStr">
        <is>
          <t>2026-05-10</t>
        </is>
      </c>
      <c r="B38" s="9" t="n">
        <v>0</v>
      </c>
      <c r="C38" s="9" t="n">
        <v>0</v>
      </c>
      <c r="D38" s="10">
        <f>D37+B38</f>
        <v/>
      </c>
      <c r="E38" s="10">
        <f>E37+C38</f>
        <v/>
      </c>
      <c r="F38" s="10">
        <f>D38/160+E38</f>
        <v/>
      </c>
      <c r="G38" s="10">
        <f>MAX((80-F38)*160,0)</f>
        <v/>
      </c>
      <c r="H38" s="10">
        <f>IF(21&gt;=21,SUMPRODUCT(B18:B38+C18:C38*160)/21,0)</f>
        <v/>
      </c>
      <c r="I38" s="10">
        <f>IF(H38&gt;0,G38/H38,0)</f>
        <v/>
      </c>
    </row>
    <row r="39">
      <c r="A39" s="5" t="inlineStr">
        <is>
          <t>2026-05-11</t>
        </is>
      </c>
      <c r="B39" s="6" t="n">
        <v>0</v>
      </c>
      <c r="C39" s="6" t="n">
        <v>0</v>
      </c>
      <c r="D39" s="7">
        <f>D38+B39</f>
        <v/>
      </c>
      <c r="E39" s="7">
        <f>E38+C39</f>
        <v/>
      </c>
      <c r="F39" s="7">
        <f>D39/160+E39</f>
        <v/>
      </c>
      <c r="G39" s="7">
        <f>MAX((80-F39)*160,0)</f>
        <v/>
      </c>
      <c r="H39" s="7">
        <f>IF(21&gt;=21,SUMPRODUCT(B19:B39+C19:C39*160)/21,0)</f>
        <v/>
      </c>
      <c r="I39" s="7">
        <f>IF(H39&gt;0,G39/H39,0)</f>
        <v/>
      </c>
    </row>
    <row r="40">
      <c r="A40" s="8" t="inlineStr">
        <is>
          <t>2026-05-12</t>
        </is>
      </c>
      <c r="B40" s="9" t="n">
        <v>0</v>
      </c>
      <c r="C40" s="9" t="n">
        <v>0</v>
      </c>
      <c r="D40" s="10">
        <f>D39+B40</f>
        <v/>
      </c>
      <c r="E40" s="10">
        <f>E39+C40</f>
        <v/>
      </c>
      <c r="F40" s="10">
        <f>D40/160+E40</f>
        <v/>
      </c>
      <c r="G40" s="10">
        <f>MAX((80-F40)*160,0)</f>
        <v/>
      </c>
      <c r="H40" s="10">
        <f>IF(21&gt;=21,SUMPRODUCT(B20:B40+C20:C40*160)/21,0)</f>
        <v/>
      </c>
      <c r="I40" s="10">
        <f>IF(H40&gt;0,G40/H40,0)</f>
        <v/>
      </c>
    </row>
    <row r="41">
      <c r="A41" s="5" t="inlineStr">
        <is>
          <t>2026-05-13</t>
        </is>
      </c>
      <c r="B41" s="6" t="n">
        <v>0</v>
      </c>
      <c r="C41" s="6" t="n">
        <v>0</v>
      </c>
      <c r="D41" s="7">
        <f>D40+B41</f>
        <v/>
      </c>
      <c r="E41" s="7">
        <f>E40+C41</f>
        <v/>
      </c>
      <c r="F41" s="7">
        <f>D41/160+E41</f>
        <v/>
      </c>
      <c r="G41" s="7">
        <f>MAX((80-F41)*160,0)</f>
        <v/>
      </c>
      <c r="H41" s="7">
        <f>IF(21&gt;=21,SUMPRODUCT(B21:B41+C21:C41*160)/21,0)</f>
        <v/>
      </c>
      <c r="I41" s="7">
        <f>IF(H41&gt;0,G41/H41,0)</f>
        <v/>
      </c>
    </row>
    <row r="42">
      <c r="A42" s="8" t="inlineStr">
        <is>
          <t>2026-05-14</t>
        </is>
      </c>
      <c r="B42" s="9" t="n">
        <v>661</v>
      </c>
      <c r="C42" s="9" t="n">
        <v>0</v>
      </c>
      <c r="D42" s="10">
        <f>D41+B42</f>
        <v/>
      </c>
      <c r="E42" s="10">
        <f>E41+C42</f>
        <v/>
      </c>
      <c r="F42" s="10">
        <f>D42/160+E42</f>
        <v/>
      </c>
      <c r="G42" s="10">
        <f>MAX((80-F42)*160,0)</f>
        <v/>
      </c>
      <c r="H42" s="10">
        <f>IF(21&gt;=21,SUMPRODUCT(B22:B42+C22:C42*160)/21,0)</f>
        <v/>
      </c>
      <c r="I42" s="10">
        <f>IF(H42&gt;0,G42/H42,0)</f>
        <v/>
      </c>
    </row>
    <row r="43">
      <c r="A43" s="5" t="inlineStr">
        <is>
          <t>2026-05-15</t>
        </is>
      </c>
      <c r="B43" s="6" t="n">
        <v>0</v>
      </c>
      <c r="C43" s="6" t="n">
        <v>0</v>
      </c>
      <c r="D43" s="7">
        <f>D42+B43</f>
        <v/>
      </c>
      <c r="E43" s="7">
        <f>E42+C43</f>
        <v/>
      </c>
      <c r="F43" s="7">
        <f>D43/160+E43</f>
        <v/>
      </c>
      <c r="G43" s="7">
        <f>MAX((80-F43)*160,0)</f>
        <v/>
      </c>
      <c r="H43" s="7">
        <f>IF(21&gt;=21,SUMPRODUCT(B23:B43+C23:C43*160)/21,0)</f>
        <v/>
      </c>
      <c r="I43" s="7">
        <f>IF(H43&gt;0,G43/H43,0)</f>
        <v/>
      </c>
    </row>
    <row r="44">
      <c r="A44" s="8" t="inlineStr">
        <is>
          <t>2026-05-16</t>
        </is>
      </c>
      <c r="B44" s="9" t="n">
        <v>0</v>
      </c>
      <c r="C44" s="9" t="n">
        <v>0</v>
      </c>
      <c r="D44" s="10">
        <f>D43+B44</f>
        <v/>
      </c>
      <c r="E44" s="10">
        <f>E43+C44</f>
        <v/>
      </c>
      <c r="F44" s="10">
        <f>D44/160+E44</f>
        <v/>
      </c>
      <c r="G44" s="10">
        <f>MAX((80-F44)*160,0)</f>
        <v/>
      </c>
      <c r="H44" s="10">
        <f>IF(21&gt;=21,SUMPRODUCT(B24:B44+C24:C44*160)/21,0)</f>
        <v/>
      </c>
      <c r="I44" s="10">
        <f>IF(H44&gt;0,G44/H44,0)</f>
        <v/>
      </c>
    </row>
    <row r="45">
      <c r="A45" s="5" t="inlineStr">
        <is>
          <t>2026-05-17</t>
        </is>
      </c>
      <c r="B45" s="6" t="n">
        <v>60</v>
      </c>
      <c r="C45" s="6" t="n">
        <v>0</v>
      </c>
      <c r="D45" s="7">
        <f>D44+B45</f>
        <v/>
      </c>
      <c r="E45" s="7">
        <f>E44+C45</f>
        <v/>
      </c>
      <c r="F45" s="7">
        <f>D45/160+E45</f>
        <v/>
      </c>
      <c r="G45" s="7">
        <f>MAX((80-F45)*160,0)</f>
        <v/>
      </c>
      <c r="H45" s="7">
        <f>IF(21&gt;=21,SUMPRODUCT(B25:B45+C25:C45*160)/21,0)</f>
        <v/>
      </c>
      <c r="I45" s="7">
        <f>IF(H45&gt;0,G45/H45,0)</f>
        <v/>
      </c>
    </row>
    <row r="46">
      <c r="A46" s="8" t="inlineStr">
        <is>
          <t>2026-05-18</t>
        </is>
      </c>
      <c r="B46" s="9" t="n">
        <v>0</v>
      </c>
      <c r="C46" s="9" t="n">
        <v>0</v>
      </c>
      <c r="D46" s="10">
        <f>D45+B46</f>
        <v/>
      </c>
      <c r="E46" s="10">
        <f>E45+C46</f>
        <v/>
      </c>
      <c r="F46" s="10">
        <f>D46/160+E46</f>
        <v/>
      </c>
      <c r="G46" s="10">
        <f>MAX((80-F46)*160,0)</f>
        <v/>
      </c>
      <c r="H46" s="10">
        <f>IF(21&gt;=21,SUMPRODUCT(B26:B46+C26:C46*160)/21,0)</f>
        <v/>
      </c>
      <c r="I46" s="10">
        <f>IF(H46&gt;0,G46/H46,0)</f>
        <v/>
      </c>
    </row>
    <row r="47">
      <c r="A47" s="5" t="inlineStr">
        <is>
          <t>2026-05-19</t>
        </is>
      </c>
      <c r="B47" s="6" t="n">
        <v>0</v>
      </c>
      <c r="C47" s="6" t="n">
        <v>0</v>
      </c>
      <c r="D47" s="7">
        <f>D46+B47</f>
        <v/>
      </c>
      <c r="E47" s="7">
        <f>E46+C47</f>
        <v/>
      </c>
      <c r="F47" s="7">
        <f>D47/160+E47</f>
        <v/>
      </c>
      <c r="G47" s="7">
        <f>MAX((80-F47)*160,0)</f>
        <v/>
      </c>
      <c r="H47" s="7">
        <f>IF(21&gt;=21,SUMPRODUCT(B27:B47+C27:C47*160)/21,0)</f>
        <v/>
      </c>
      <c r="I47" s="7">
        <f>IF(H47&gt;0,G47/H47,0)</f>
        <v/>
      </c>
    </row>
    <row r="48">
      <c r="A48" s="8" t="inlineStr">
        <is>
          <t>2026-05-20</t>
        </is>
      </c>
      <c r="B48" s="9" t="n">
        <v>11</v>
      </c>
      <c r="C48" s="9" t="n">
        <v>0</v>
      </c>
      <c r="D48" s="10">
        <f>D47+B48</f>
        <v/>
      </c>
      <c r="E48" s="10">
        <f>E47+C48</f>
        <v/>
      </c>
      <c r="F48" s="10">
        <f>D48/160+E48</f>
        <v/>
      </c>
      <c r="G48" s="10">
        <f>MAX((80-F48)*160,0)</f>
        <v/>
      </c>
      <c r="H48" s="10">
        <f>IF(21&gt;=21,SUMPRODUCT(B28:B48+C28:C48*160)/21,0)</f>
        <v/>
      </c>
      <c r="I48" s="10">
        <f>IF(H48&gt;0,G48/H48,0)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2026-05-20T19:36:56Z</dcterms:modified>
  <cp:lastModifiedBy>Rianna Santra</cp:lastModifiedBy>
</cp:coreProperties>
</file>