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  <row r="102">
      <c r="A102" s="8" t="inlineStr">
        <is>
          <t>2026-07-13</t>
        </is>
      </c>
      <c r="B102" s="9" t="n">
        <v>0</v>
      </c>
      <c r="C102" s="9" t="n">
        <v>0</v>
      </c>
      <c r="D102" s="10">
        <f>D101+B102</f>
        <v/>
      </c>
      <c r="E102" s="10">
        <f>E101+C102</f>
        <v/>
      </c>
      <c r="F102" s="10">
        <f>D102/160+E102</f>
        <v/>
      </c>
      <c r="G102" s="10">
        <f>MAX((80-F102)*160,0)</f>
        <v/>
      </c>
      <c r="H102" s="10">
        <f>IF(21&gt;=21,SUMPRODUCT(B82:B102+C82:C102*160)/21,0)</f>
        <v/>
      </c>
      <c r="I102" s="10">
        <f>IF(H102&gt;0,G102/H102,0)</f>
        <v/>
      </c>
    </row>
    <row r="103">
      <c r="A103" s="5" t="inlineStr">
        <is>
          <t>2026-07-14</t>
        </is>
      </c>
      <c r="B103" s="6" t="n">
        <v>0</v>
      </c>
      <c r="C103" s="6" t="n">
        <v>0</v>
      </c>
      <c r="D103" s="7">
        <f>D102+B103</f>
        <v/>
      </c>
      <c r="E103" s="7">
        <f>E102+C103</f>
        <v/>
      </c>
      <c r="F103" s="7">
        <f>D103/160+E103</f>
        <v/>
      </c>
      <c r="G103" s="7">
        <f>MAX((80-F103)*160,0)</f>
        <v/>
      </c>
      <c r="H103" s="7">
        <f>IF(21&gt;=21,SUMPRODUCT(B83:B103+C83:C103*160)/21,0)</f>
        <v/>
      </c>
      <c r="I103" s="7">
        <f>IF(H103&gt;0,G103/H103,0)</f>
        <v/>
      </c>
    </row>
    <row r="104">
      <c r="A104" s="8" t="inlineStr">
        <is>
          <t>2026-07-15</t>
        </is>
      </c>
      <c r="B104" s="9" t="n">
        <v>0</v>
      </c>
      <c r="C104" s="9" t="n">
        <v>0</v>
      </c>
      <c r="D104" s="10">
        <f>D103+B104</f>
        <v/>
      </c>
      <c r="E104" s="10">
        <f>E103+C104</f>
        <v/>
      </c>
      <c r="F104" s="10">
        <f>D104/160+E104</f>
        <v/>
      </c>
      <c r="G104" s="10">
        <f>MAX((80-F104)*160,0)</f>
        <v/>
      </c>
      <c r="H104" s="10">
        <f>IF(21&gt;=21,SUMPRODUCT(B84:B104+C84:C104*160)/21,0)</f>
        <v/>
      </c>
      <c r="I104" s="10">
        <f>IF(H104&gt;0,G104/H104,0)</f>
        <v/>
      </c>
    </row>
    <row r="105">
      <c r="A105" s="5" t="inlineStr">
        <is>
          <t>2026-07-16</t>
        </is>
      </c>
      <c r="B105" s="6" t="n">
        <v>0</v>
      </c>
      <c r="C105" s="6" t="n">
        <v>0</v>
      </c>
      <c r="D105" s="7">
        <f>D104+B105</f>
        <v/>
      </c>
      <c r="E105" s="7">
        <f>E104+C105</f>
        <v/>
      </c>
      <c r="F105" s="7">
        <f>D105/160+E105</f>
        <v/>
      </c>
      <c r="G105" s="7">
        <f>MAX((80-F105)*160,0)</f>
        <v/>
      </c>
      <c r="H105" s="7">
        <f>IF(21&gt;=21,SUMPRODUCT(B85:B105+C85:C105*160)/21,0)</f>
        <v/>
      </c>
      <c r="I105" s="7">
        <f>IF(H105&gt;0,G105/H105,0)</f>
        <v/>
      </c>
    </row>
    <row r="106">
      <c r="A106" s="8" t="inlineStr">
        <is>
          <t>2026-07-17</t>
        </is>
      </c>
      <c r="B106" s="9" t="n">
        <v>0</v>
      </c>
      <c r="C106" s="9" t="n">
        <v>0</v>
      </c>
      <c r="D106" s="10">
        <f>D105+B106</f>
        <v/>
      </c>
      <c r="E106" s="10">
        <f>E105+C106</f>
        <v/>
      </c>
      <c r="F106" s="10">
        <f>D106/160+E106</f>
        <v/>
      </c>
      <c r="G106" s="10">
        <f>MAX((80-F106)*160,0)</f>
        <v/>
      </c>
      <c r="H106" s="10">
        <f>IF(21&gt;=21,SUMPRODUCT(B86:B106+C86:C106*160)/21,0)</f>
        <v/>
      </c>
      <c r="I106" s="10">
        <f>IF(H106&gt;0,G106/H106,0)</f>
        <v/>
      </c>
    </row>
    <row r="107">
      <c r="A107" s="5" t="inlineStr">
        <is>
          <t>2026-07-18</t>
        </is>
      </c>
      <c r="B107" s="6" t="n">
        <v>0</v>
      </c>
      <c r="C107" s="6" t="n">
        <v>0</v>
      </c>
      <c r="D107" s="7">
        <f>D106+B107</f>
        <v/>
      </c>
      <c r="E107" s="7">
        <f>E106+C107</f>
        <v/>
      </c>
      <c r="F107" s="7">
        <f>D107/160+E107</f>
        <v/>
      </c>
      <c r="G107" s="7">
        <f>MAX((80-F107)*160,0)</f>
        <v/>
      </c>
      <c r="H107" s="7">
        <f>IF(21&gt;=21,SUMPRODUCT(B87:B107+C87:C107*160)/21,0)</f>
        <v/>
      </c>
      <c r="I107" s="7">
        <f>IF(H107&gt;0,G107/H107,0)</f>
        <v/>
      </c>
    </row>
    <row r="108">
      <c r="A108" s="8" t="inlineStr">
        <is>
          <t>2026-07-19</t>
        </is>
      </c>
      <c r="B108" s="9" t="n">
        <v>0</v>
      </c>
      <c r="C108" s="9" t="n">
        <v>0</v>
      </c>
      <c r="D108" s="10">
        <f>D107+B108</f>
        <v/>
      </c>
      <c r="E108" s="10">
        <f>E107+C108</f>
        <v/>
      </c>
      <c r="F108" s="10">
        <f>D108/160+E108</f>
        <v/>
      </c>
      <c r="G108" s="10">
        <f>MAX((80-F108)*160,0)</f>
        <v/>
      </c>
      <c r="H108" s="10">
        <f>IF(21&gt;=21,SUMPRODUCT(B88:B108+C88:C108*160)/21,0)</f>
        <v/>
      </c>
      <c r="I108" s="10">
        <f>IF(H108&gt;0,G108/H108,0)</f>
        <v/>
      </c>
    </row>
    <row r="109">
      <c r="A109" s="5" t="inlineStr">
        <is>
          <t>2026-07-20</t>
        </is>
      </c>
      <c r="B109" s="6" t="n">
        <v>0</v>
      </c>
      <c r="C109" s="6" t="n">
        <v>0</v>
      </c>
      <c r="D109" s="7">
        <f>D108+B109</f>
        <v/>
      </c>
      <c r="E109" s="7">
        <f>E108+C109</f>
        <v/>
      </c>
      <c r="F109" s="7">
        <f>D109/160+E109</f>
        <v/>
      </c>
      <c r="G109" s="7">
        <f>MAX((80-F109)*160,0)</f>
        <v/>
      </c>
      <c r="H109" s="7">
        <f>IF(21&gt;=21,SUMPRODUCT(B89:B109+C89:C109*160)/21,0)</f>
        <v/>
      </c>
      <c r="I109" s="7">
        <f>IF(H109&gt;0,G109/H109,0)</f>
        <v/>
      </c>
    </row>
    <row r="110">
      <c r="A110" s="8" t="inlineStr">
        <is>
          <t>2026-07-21</t>
        </is>
      </c>
      <c r="B110" s="9" t="n">
        <v>0</v>
      </c>
      <c r="C110" s="9" t="n">
        <v>0</v>
      </c>
      <c r="D110" s="10">
        <f>D109+B110</f>
        <v/>
      </c>
      <c r="E110" s="10">
        <f>E109+C110</f>
        <v/>
      </c>
      <c r="F110" s="10">
        <f>D110/160+E110</f>
        <v/>
      </c>
      <c r="G110" s="10">
        <f>MAX((80-F110)*160,0)</f>
        <v/>
      </c>
      <c r="H110" s="10">
        <f>IF(21&gt;=21,SUMPRODUCT(B90:B110+C90:C110*160)/21,0)</f>
        <v/>
      </c>
      <c r="I110" s="10">
        <f>IF(H110&gt;0,G110/H110,0)</f>
        <v/>
      </c>
    </row>
    <row r="111">
      <c r="A111" s="5" t="inlineStr">
        <is>
          <t>2026-07-22</t>
        </is>
      </c>
      <c r="B111" s="6" t="n">
        <v>0</v>
      </c>
      <c r="C111" s="6" t="n">
        <v>0</v>
      </c>
      <c r="D111" s="7">
        <f>D110+B111</f>
        <v/>
      </c>
      <c r="E111" s="7">
        <f>E110+C111</f>
        <v/>
      </c>
      <c r="F111" s="7">
        <f>D111/160+E111</f>
        <v/>
      </c>
      <c r="G111" s="7">
        <f>MAX((80-F111)*160,0)</f>
        <v/>
      </c>
      <c r="H111" s="7">
        <f>IF(21&gt;=21,SUMPRODUCT(B91:B111+C91:C111*160)/21,0)</f>
        <v/>
      </c>
      <c r="I111" s="7">
        <f>IF(H111&gt;0,G111/H111,0)</f>
        <v/>
      </c>
    </row>
    <row r="112">
      <c r="A112" s="8" t="inlineStr">
        <is>
          <t>2026-07-23</t>
        </is>
      </c>
      <c r="B112" s="9" t="n">
        <v>0</v>
      </c>
      <c r="C112" s="9" t="n">
        <v>0</v>
      </c>
      <c r="D112" s="10">
        <f>D111+B112</f>
        <v/>
      </c>
      <c r="E112" s="10">
        <f>E111+C112</f>
        <v/>
      </c>
      <c r="F112" s="10">
        <f>D112/160+E112</f>
        <v/>
      </c>
      <c r="G112" s="10">
        <f>MAX((80-F112)*160,0)</f>
        <v/>
      </c>
      <c r="H112" s="10">
        <f>IF(21&gt;=21,SUMPRODUCT(B92:B112+C92:C112*160)/21,0)</f>
        <v/>
      </c>
      <c r="I112" s="10">
        <f>IF(H112&gt;0,G112/H112,0)</f>
        <v/>
      </c>
    </row>
    <row r="113">
      <c r="A113" s="5" t="inlineStr">
        <is>
          <t>2026-07-24</t>
        </is>
      </c>
      <c r="B113" s="6" t="n">
        <v>0</v>
      </c>
      <c r="C113" s="6" t="n">
        <v>0</v>
      </c>
      <c r="D113" s="7">
        <f>D112+B113</f>
        <v/>
      </c>
      <c r="E113" s="7">
        <f>E112+C113</f>
        <v/>
      </c>
      <c r="F113" s="7">
        <f>D113/160+E113</f>
        <v/>
      </c>
      <c r="G113" s="7">
        <f>MAX((80-F113)*160,0)</f>
        <v/>
      </c>
      <c r="H113" s="7">
        <f>IF(21&gt;=21,SUMPRODUCT(B93:B113+C93:C113*160)/21,0)</f>
        <v/>
      </c>
      <c r="I113" s="7">
        <f>IF(H113&gt;0,G113/H113,0)</f>
        <v/>
      </c>
    </row>
    <row r="114">
      <c r="A114" s="8" t="inlineStr">
        <is>
          <t>2026-07-25</t>
        </is>
      </c>
      <c r="B114" s="9" t="n">
        <v>0</v>
      </c>
      <c r="C114" s="9" t="n">
        <v>0</v>
      </c>
      <c r="D114" s="10">
        <f>D113+B114</f>
        <v/>
      </c>
      <c r="E114" s="10">
        <f>E113+C114</f>
        <v/>
      </c>
      <c r="F114" s="10">
        <f>D114/160+E114</f>
        <v/>
      </c>
      <c r="G114" s="10">
        <f>MAX((80-F114)*160,0)</f>
        <v/>
      </c>
      <c r="H114" s="10">
        <f>IF(21&gt;=21,SUMPRODUCT(B94:B114+C94:C114*160)/21,0)</f>
        <v/>
      </c>
      <c r="I114" s="10">
        <f>IF(H114&gt;0,G114/H114,0)</f>
        <v/>
      </c>
    </row>
    <row r="115">
      <c r="A115" s="5" t="inlineStr">
        <is>
          <t>2026-07-26</t>
        </is>
      </c>
      <c r="B115" s="6" t="n">
        <v>0</v>
      </c>
      <c r="C115" s="6" t="n">
        <v>0</v>
      </c>
      <c r="D115" s="7">
        <f>D114+B115</f>
        <v/>
      </c>
      <c r="E115" s="7">
        <f>E114+C115</f>
        <v/>
      </c>
      <c r="F115" s="7">
        <f>D115/160+E115</f>
        <v/>
      </c>
      <c r="G115" s="7">
        <f>MAX((80-F115)*160,0)</f>
        <v/>
      </c>
      <c r="H115" s="7">
        <f>IF(21&gt;=21,SUMPRODUCT(B95:B115+C95:C115*160)/21,0)</f>
        <v/>
      </c>
      <c r="I115" s="7">
        <f>IF(H115&gt;0,G115/H115,0)</f>
        <v/>
      </c>
    </row>
    <row r="116">
      <c r="A116" s="8" t="inlineStr">
        <is>
          <t>2026-07-27</t>
        </is>
      </c>
      <c r="B116" s="9" t="n">
        <v>0</v>
      </c>
      <c r="C116" s="9" t="n">
        <v>0</v>
      </c>
      <c r="D116" s="10">
        <f>D115+B116</f>
        <v/>
      </c>
      <c r="E116" s="10">
        <f>E115+C116</f>
        <v/>
      </c>
      <c r="F116" s="10">
        <f>D116/160+E116</f>
        <v/>
      </c>
      <c r="G116" s="10">
        <f>MAX((80-F116)*160,0)</f>
        <v/>
      </c>
      <c r="H116" s="10">
        <f>IF(21&gt;=21,SUMPRODUCT(B96:B116+C96:C116*160)/21,0)</f>
        <v/>
      </c>
      <c r="I116" s="10">
        <f>IF(H116&gt;0,G116/H116,0)</f>
        <v/>
      </c>
    </row>
    <row r="117">
      <c r="A117" s="5" t="inlineStr">
        <is>
          <t>2026-07-28</t>
        </is>
      </c>
      <c r="B117" s="6" t="n">
        <v>0</v>
      </c>
      <c r="C117" s="6" t="n">
        <v>0</v>
      </c>
      <c r="D117" s="7">
        <f>D116+B117</f>
        <v/>
      </c>
      <c r="E117" s="7">
        <f>E116+C117</f>
        <v/>
      </c>
      <c r="F117" s="7">
        <f>D117/160+E117</f>
        <v/>
      </c>
      <c r="G117" s="7">
        <f>MAX((80-F117)*160,0)</f>
        <v/>
      </c>
      <c r="H117" s="7">
        <f>IF(21&gt;=21,SUMPRODUCT(B97:B117+C97:C117*160)/21,0)</f>
        <v/>
      </c>
      <c r="I117" s="7">
        <f>IF(H117&gt;0,G117/H117,0)</f>
        <v/>
      </c>
    </row>
    <row r="118">
      <c r="A118" s="8" t="inlineStr">
        <is>
          <t>2026-07-29</t>
        </is>
      </c>
      <c r="B118" s="9" t="n">
        <v>0</v>
      </c>
      <c r="C118" s="9" t="n">
        <v>0</v>
      </c>
      <c r="D118" s="10">
        <f>D117+B118</f>
        <v/>
      </c>
      <c r="E118" s="10">
        <f>E117+C118</f>
        <v/>
      </c>
      <c r="F118" s="10">
        <f>D118/160+E118</f>
        <v/>
      </c>
      <c r="G118" s="10">
        <f>MAX((80-F118)*160,0)</f>
        <v/>
      </c>
      <c r="H118" s="10">
        <f>IF(21&gt;=21,SUMPRODUCT(B98:B118+C98:C118*160)/21,0)</f>
        <v/>
      </c>
      <c r="I118" s="10">
        <f>IF(H118&gt;0,G118/H118,0)</f>
        <v/>
      </c>
    </row>
    <row r="119">
      <c r="A119" s="5" t="inlineStr">
        <is>
          <t>2026-07-30</t>
        </is>
      </c>
      <c r="B119" s="6" t="n">
        <v>0</v>
      </c>
      <c r="C119" s="6" t="n">
        <v>0</v>
      </c>
      <c r="D119" s="7">
        <f>D118+B119</f>
        <v/>
      </c>
      <c r="E119" s="7">
        <f>E118+C119</f>
        <v/>
      </c>
      <c r="F119" s="7">
        <f>D119/160+E119</f>
        <v/>
      </c>
      <c r="G119" s="7">
        <f>MAX((80-F119)*160,0)</f>
        <v/>
      </c>
      <c r="H119" s="7">
        <f>IF(21&gt;=21,SUMPRODUCT(B99:B119+C99:C119*160)/21,0)</f>
        <v/>
      </c>
      <c r="I119" s="7">
        <f>IF(H119&gt;0,G119/H119,0)</f>
        <v/>
      </c>
    </row>
    <row r="120">
      <c r="A120" s="8" t="inlineStr">
        <is>
          <t>2026-07-31</t>
        </is>
      </c>
      <c r="B120" s="9" t="n">
        <v>0</v>
      </c>
      <c r="C120" s="9" t="n">
        <v>0</v>
      </c>
      <c r="D120" s="10">
        <f>D119+B120</f>
        <v/>
      </c>
      <c r="E120" s="10">
        <f>E119+C120</f>
        <v/>
      </c>
      <c r="F120" s="10">
        <f>D120/160+E120</f>
        <v/>
      </c>
      <c r="G120" s="10">
        <f>MAX((80-F120)*160,0)</f>
        <v/>
      </c>
      <c r="H120" s="10">
        <f>IF(21&gt;=21,SUMPRODUCT(B100:B120+C100:C120*160)/21,0)</f>
        <v/>
      </c>
      <c r="I120" s="10">
        <f>IF(H120&gt;0,G120/H120,0)</f>
        <v/>
      </c>
    </row>
    <row r="121">
      <c r="A121" s="5" t="inlineStr">
        <is>
          <t>2026-08-01</t>
        </is>
      </c>
      <c r="B121" s="6" t="n">
        <v>0</v>
      </c>
      <c r="C121" s="6" t="n">
        <v>0</v>
      </c>
      <c r="D121" s="7">
        <f>D120+B121</f>
        <v/>
      </c>
      <c r="E121" s="7">
        <f>E120+C121</f>
        <v/>
      </c>
      <c r="F121" s="7">
        <f>D121/160+E121</f>
        <v/>
      </c>
      <c r="G121" s="7">
        <f>MAX((80-F121)*160,0)</f>
        <v/>
      </c>
      <c r="H121" s="7">
        <f>IF(21&gt;=21,SUMPRODUCT(B101:B121+C101:C121*160)/21,0)</f>
        <v/>
      </c>
      <c r="I121" s="7">
        <f>IF(H121&gt;0,G121/H121,0)</f>
        <v/>
      </c>
    </row>
    <row r="122">
      <c r="A122" s="8" t="inlineStr">
        <is>
          <t>2026-08-02</t>
        </is>
      </c>
      <c r="B122" s="9" t="n">
        <v>0</v>
      </c>
      <c r="C122" s="9" t="n">
        <v>0</v>
      </c>
      <c r="D122" s="10">
        <f>D121+B122</f>
        <v/>
      </c>
      <c r="E122" s="10">
        <f>E121+C122</f>
        <v/>
      </c>
      <c r="F122" s="10">
        <f>D122/160+E122</f>
        <v/>
      </c>
      <c r="G122" s="10">
        <f>MAX((80-F122)*160,0)</f>
        <v/>
      </c>
      <c r="H122" s="10">
        <f>IF(21&gt;=21,SUMPRODUCT(B102:B122+C102:C122*160)/21,0)</f>
        <v/>
      </c>
      <c r="I122" s="10">
        <f>IF(H122&gt;0,G122/H122,0)</f>
        <v/>
      </c>
    </row>
    <row r="123">
      <c r="A123" s="5" t="inlineStr">
        <is>
          <t>2026-08-03</t>
        </is>
      </c>
      <c r="B123" s="6" t="n">
        <v>0</v>
      </c>
      <c r="C123" s="6" t="n">
        <v>0</v>
      </c>
      <c r="D123" s="7">
        <f>D122+B123</f>
        <v/>
      </c>
      <c r="E123" s="7">
        <f>E122+C123</f>
        <v/>
      </c>
      <c r="F123" s="7">
        <f>D123/160+E123</f>
        <v/>
      </c>
      <c r="G123" s="7">
        <f>MAX((80-F123)*160,0)</f>
        <v/>
      </c>
      <c r="H123" s="7">
        <f>IF(21&gt;=21,SUMPRODUCT(B103:B123+C103:C123*160)/21,0)</f>
        <v/>
      </c>
      <c r="I123" s="7">
        <f>IF(H123&gt;0,G123/H123,0)</f>
        <v/>
      </c>
    </row>
    <row r="124">
      <c r="A124" s="8" t="inlineStr">
        <is>
          <t>2026-08-04</t>
        </is>
      </c>
      <c r="B124" s="9" t="n">
        <v>0</v>
      </c>
      <c r="C124" s="9" t="n">
        <v>0</v>
      </c>
      <c r="D124" s="10">
        <f>D123+B124</f>
        <v/>
      </c>
      <c r="E124" s="10">
        <f>E123+C124</f>
        <v/>
      </c>
      <c r="F124" s="10">
        <f>D124/160+E124</f>
        <v/>
      </c>
      <c r="G124" s="10">
        <f>MAX((80-F124)*160,0)</f>
        <v/>
      </c>
      <c r="H124" s="10">
        <f>IF(21&gt;=21,SUMPRODUCT(B104:B124+C104:C124*160)/21,0)</f>
        <v/>
      </c>
      <c r="I124" s="10">
        <f>IF(H124&gt;0,G124/H124,0)</f>
        <v/>
      </c>
    </row>
    <row r="125">
      <c r="A125" s="5" t="inlineStr">
        <is>
          <t>2026-08-05</t>
        </is>
      </c>
      <c r="B125" s="6" t="n">
        <v>0</v>
      </c>
      <c r="C125" s="6" t="n">
        <v>0</v>
      </c>
      <c r="D125" s="7">
        <f>D124+B125</f>
        <v/>
      </c>
      <c r="E125" s="7">
        <f>E124+C125</f>
        <v/>
      </c>
      <c r="F125" s="7">
        <f>D125/160+E125</f>
        <v/>
      </c>
      <c r="G125" s="7">
        <f>MAX((80-F125)*160,0)</f>
        <v/>
      </c>
      <c r="H125" s="7">
        <f>IF(21&gt;=21,SUMPRODUCT(B105:B125+C105:C125*160)/21,0)</f>
        <v/>
      </c>
      <c r="I125" s="7">
        <f>IF(H125&gt;0,G125/H125,0)</f>
        <v/>
      </c>
    </row>
    <row r="126">
      <c r="A126" s="8" t="inlineStr">
        <is>
          <t>2026-08-06</t>
        </is>
      </c>
      <c r="B126" s="9" t="n">
        <v>0</v>
      </c>
      <c r="C126" s="9" t="n">
        <v>0</v>
      </c>
      <c r="D126" s="10">
        <f>D125+B126</f>
        <v/>
      </c>
      <c r="E126" s="10">
        <f>E125+C126</f>
        <v/>
      </c>
      <c r="F126" s="10">
        <f>D126/160+E126</f>
        <v/>
      </c>
      <c r="G126" s="10">
        <f>MAX((80-F126)*160,0)</f>
        <v/>
      </c>
      <c r="H126" s="10">
        <f>IF(21&gt;=21,SUMPRODUCT(B106:B126+C106:C126*160)/21,0)</f>
        <v/>
      </c>
      <c r="I126" s="10">
        <f>IF(H126&gt;0,G126/H126,0)</f>
        <v/>
      </c>
    </row>
    <row r="127">
      <c r="A127" s="5" t="inlineStr">
        <is>
          <t>2026-08-07</t>
        </is>
      </c>
      <c r="B127" s="6" t="n">
        <v>0</v>
      </c>
      <c r="C127" s="6" t="n">
        <v>0</v>
      </c>
      <c r="D127" s="7">
        <f>D126+B127</f>
        <v/>
      </c>
      <c r="E127" s="7">
        <f>E126+C127</f>
        <v/>
      </c>
      <c r="F127" s="7">
        <f>D127/160+E127</f>
        <v/>
      </c>
      <c r="G127" s="7">
        <f>MAX((80-F127)*160,0)</f>
        <v/>
      </c>
      <c r="H127" s="7">
        <f>IF(21&gt;=21,SUMPRODUCT(B107:B127+C107:C127*160)/21,0)</f>
        <v/>
      </c>
      <c r="I127" s="7">
        <f>IF(H127&gt;0,G127/H127,0)</f>
        <v/>
      </c>
    </row>
    <row r="128">
      <c r="A128" s="8" t="inlineStr">
        <is>
          <t>2026-08-08</t>
        </is>
      </c>
      <c r="B128" s="9" t="n">
        <v>0</v>
      </c>
      <c r="C128" s="9" t="n">
        <v>0</v>
      </c>
      <c r="D128" s="10">
        <f>D127+B128</f>
        <v/>
      </c>
      <c r="E128" s="10">
        <f>E127+C128</f>
        <v/>
      </c>
      <c r="F128" s="10">
        <f>D128/160+E128</f>
        <v/>
      </c>
      <c r="G128" s="10">
        <f>MAX((80-F128)*160,0)</f>
        <v/>
      </c>
      <c r="H128" s="10">
        <f>IF(21&gt;=21,SUMPRODUCT(B108:B128+C108:C128*160)/21,0)</f>
        <v/>
      </c>
      <c r="I128" s="10">
        <f>IF(H128&gt;0,G128/H128,0)</f>
        <v/>
      </c>
    </row>
    <row r="129">
      <c r="A129" s="5" t="inlineStr">
        <is>
          <t>2026-08-09</t>
        </is>
      </c>
      <c r="B129" s="6" t="n">
        <v>0</v>
      </c>
      <c r="C129" s="6" t="n">
        <v>0</v>
      </c>
      <c r="D129" s="7">
        <f>D128+B129</f>
        <v/>
      </c>
      <c r="E129" s="7">
        <f>E128+C129</f>
        <v/>
      </c>
      <c r="F129" s="7">
        <f>D129/160+E129</f>
        <v/>
      </c>
      <c r="G129" s="7">
        <f>MAX((80-F129)*160,0)</f>
        <v/>
      </c>
      <c r="H129" s="7">
        <f>IF(21&gt;=21,SUMPRODUCT(B109:B129+C109:C129*160)/21,0)</f>
        <v/>
      </c>
      <c r="I129" s="7">
        <f>IF(H129&gt;0,G129/H129,0)</f>
        <v/>
      </c>
    </row>
    <row r="130">
      <c r="A130" s="8" t="inlineStr">
        <is>
          <t>2026-08-10</t>
        </is>
      </c>
      <c r="B130" s="9" t="n">
        <v>0</v>
      </c>
      <c r="C130" s="9" t="n">
        <v>0</v>
      </c>
      <c r="D130" s="10">
        <f>D129+B130</f>
        <v/>
      </c>
      <c r="E130" s="10">
        <f>E129+C130</f>
        <v/>
      </c>
      <c r="F130" s="10">
        <f>D130/160+E130</f>
        <v/>
      </c>
      <c r="G130" s="10">
        <f>MAX((80-F130)*160,0)</f>
        <v/>
      </c>
      <c r="H130" s="10">
        <f>IF(21&gt;=21,SUMPRODUCT(B110:B130+C110:C130*160)/21,0)</f>
        <v/>
      </c>
      <c r="I130" s="10">
        <f>IF(H130&gt;0,G130/H130,0)</f>
        <v/>
      </c>
    </row>
    <row r="131">
      <c r="A131" s="5" t="inlineStr">
        <is>
          <t>2026-08-11</t>
        </is>
      </c>
      <c r="B131" s="6" t="n">
        <v>0</v>
      </c>
      <c r="C131" s="6" t="n">
        <v>0</v>
      </c>
      <c r="D131" s="7">
        <f>D130+B131</f>
        <v/>
      </c>
      <c r="E131" s="7">
        <f>E130+C131</f>
        <v/>
      </c>
      <c r="F131" s="7">
        <f>D131/160+E131</f>
        <v/>
      </c>
      <c r="G131" s="7">
        <f>MAX((80-F131)*160,0)</f>
        <v/>
      </c>
      <c r="H131" s="7">
        <f>IF(21&gt;=21,SUMPRODUCT(B111:B131+C111:C131*160)/21,0)</f>
        <v/>
      </c>
      <c r="I131" s="7">
        <f>IF(H131&gt;0,G131/H131,0)</f>
        <v/>
      </c>
    </row>
    <row r="132">
      <c r="A132" s="8" t="inlineStr">
        <is>
          <t>2026-08-12</t>
        </is>
      </c>
      <c r="B132" s="9" t="n">
        <v>0</v>
      </c>
      <c r="C132" s="9" t="n">
        <v>0</v>
      </c>
      <c r="D132" s="10">
        <f>D131+B132</f>
        <v/>
      </c>
      <c r="E132" s="10">
        <f>E131+C132</f>
        <v/>
      </c>
      <c r="F132" s="10">
        <f>D132/160+E132</f>
        <v/>
      </c>
      <c r="G132" s="10">
        <f>MAX((80-F132)*160,0)</f>
        <v/>
      </c>
      <c r="H132" s="10">
        <f>IF(21&gt;=21,SUMPRODUCT(B112:B132+C112:C132*160)/21,0)</f>
        <v/>
      </c>
      <c r="I132" s="10">
        <f>IF(H132&gt;0,G132/H132,0)</f>
        <v/>
      </c>
    </row>
    <row r="133">
      <c r="A133" s="5" t="inlineStr">
        <is>
          <t>2026-08-13</t>
        </is>
      </c>
      <c r="B133" s="6" t="n">
        <v>0</v>
      </c>
      <c r="C133" s="6" t="n">
        <v>0</v>
      </c>
      <c r="D133" s="7">
        <f>D132+B133</f>
        <v/>
      </c>
      <c r="E133" s="7">
        <f>E132+C133</f>
        <v/>
      </c>
      <c r="F133" s="7">
        <f>D133/160+E133</f>
        <v/>
      </c>
      <c r="G133" s="7">
        <f>MAX((80-F133)*160,0)</f>
        <v/>
      </c>
      <c r="H133" s="7">
        <f>IF(21&gt;=21,SUMPRODUCT(B113:B133+C113:C133*160)/21,0)</f>
        <v/>
      </c>
      <c r="I133" s="7">
        <f>IF(H133&gt;0,G133/H133,0)</f>
        <v/>
      </c>
    </row>
    <row r="134">
      <c r="A134" s="8" t="inlineStr">
        <is>
          <t>2026-08-14</t>
        </is>
      </c>
      <c r="B134" s="9" t="n">
        <v>0</v>
      </c>
      <c r="C134" s="9" t="n">
        <v>0</v>
      </c>
      <c r="D134" s="10">
        <f>D133+B134</f>
        <v/>
      </c>
      <c r="E134" s="10">
        <f>E133+C134</f>
        <v/>
      </c>
      <c r="F134" s="10">
        <f>D134/160+E134</f>
        <v/>
      </c>
      <c r="G134" s="10">
        <f>MAX((80-F134)*160,0)</f>
        <v/>
      </c>
      <c r="H134" s="10">
        <f>IF(21&gt;=21,SUMPRODUCT(B114:B134+C114:C134*160)/21,0)</f>
        <v/>
      </c>
      <c r="I134" s="10">
        <f>IF(H134&gt;0,G134/H134,0)</f>
        <v/>
      </c>
    </row>
    <row r="135">
      <c r="A135" s="5" t="inlineStr">
        <is>
          <t>2026-08-15</t>
        </is>
      </c>
      <c r="B135" s="6" t="n">
        <v>0</v>
      </c>
      <c r="C135" s="6" t="n">
        <v>0</v>
      </c>
      <c r="D135" s="7">
        <f>D134+B135</f>
        <v/>
      </c>
      <c r="E135" s="7">
        <f>E134+C135</f>
        <v/>
      </c>
      <c r="F135" s="7">
        <f>D135/160+E135</f>
        <v/>
      </c>
      <c r="G135" s="7">
        <f>MAX((80-F135)*160,0)</f>
        <v/>
      </c>
      <c r="H135" s="7">
        <f>IF(21&gt;=21,SUMPRODUCT(B115:B135+C115:C135*160)/21,0)</f>
        <v/>
      </c>
      <c r="I135" s="7">
        <f>IF(H135&gt;0,G135/H135,0)</f>
        <v/>
      </c>
    </row>
    <row r="136">
      <c r="A136" s="8" t="inlineStr">
        <is>
          <t>2026-08-16</t>
        </is>
      </c>
      <c r="B136" s="9" t="n">
        <v>758</v>
      </c>
      <c r="C136" s="9" t="n">
        <v>0</v>
      </c>
      <c r="D136" s="10">
        <f>D135+B136</f>
        <v/>
      </c>
      <c r="E136" s="10">
        <f>E135+C136</f>
        <v/>
      </c>
      <c r="F136" s="10">
        <f>D136/160+E136</f>
        <v/>
      </c>
      <c r="G136" s="10">
        <f>MAX((80-F136)*160,0)</f>
        <v/>
      </c>
      <c r="H136" s="10">
        <f>IF(21&gt;=21,SUMPRODUCT(B116:B136+C116:C136*160)/21,0)</f>
        <v/>
      </c>
      <c r="I136" s="10">
        <f>IF(H136&gt;0,G136/H136,0)</f>
        <v/>
      </c>
    </row>
    <row r="137">
      <c r="A137" s="5" t="inlineStr">
        <is>
          <t>2026-08-17</t>
        </is>
      </c>
      <c r="B137" s="6" t="n">
        <v>130</v>
      </c>
      <c r="C137" s="6" t="n">
        <v>0</v>
      </c>
      <c r="D137" s="7">
        <f>D136+B137</f>
        <v/>
      </c>
      <c r="E137" s="7">
        <f>E136+C137</f>
        <v/>
      </c>
      <c r="F137" s="7">
        <f>D137/160+E137</f>
        <v/>
      </c>
      <c r="G137" s="7">
        <f>MAX((80-F137)*160,0)</f>
        <v/>
      </c>
      <c r="H137" s="7">
        <f>IF(21&gt;=21,SUMPRODUCT(B117:B137+C117:C137*160)/21,0)</f>
        <v/>
      </c>
      <c r="I137" s="7">
        <f>IF(H137&gt;0,G137/H137,0)</f>
        <v/>
      </c>
    </row>
    <row r="138">
      <c r="A138" s="8" t="inlineStr">
        <is>
          <t>2026-08-18</t>
        </is>
      </c>
      <c r="B138" s="9" t="n">
        <v>0</v>
      </c>
      <c r="C138" s="9" t="n">
        <v>0</v>
      </c>
      <c r="D138" s="10">
        <f>D137+B138</f>
        <v/>
      </c>
      <c r="E138" s="10">
        <f>E137+C138</f>
        <v/>
      </c>
      <c r="F138" s="10">
        <f>D138/160+E138</f>
        <v/>
      </c>
      <c r="G138" s="10">
        <f>MAX((80-F138)*160,0)</f>
        <v/>
      </c>
      <c r="H138" s="10">
        <f>IF(21&gt;=21,SUMPRODUCT(B118:B138+C118:C138*160)/21,0)</f>
        <v/>
      </c>
      <c r="I138" s="10">
        <f>IF(H138&gt;0,G138/H138,0)</f>
        <v/>
      </c>
    </row>
    <row r="139">
      <c r="A139" s="5" t="inlineStr">
        <is>
          <t>2026-08-19</t>
        </is>
      </c>
      <c r="B139" s="6" t="n">
        <v>576</v>
      </c>
      <c r="C139" s="6" t="n">
        <v>0</v>
      </c>
      <c r="D139" s="7">
        <f>D138+B139</f>
        <v/>
      </c>
      <c r="E139" s="7">
        <f>E138+C139</f>
        <v/>
      </c>
      <c r="F139" s="7">
        <f>D139/160+E139</f>
        <v/>
      </c>
      <c r="G139" s="7">
        <f>MAX((80-F139)*160,0)</f>
        <v/>
      </c>
      <c r="H139" s="7">
        <f>IF(21&gt;=21,SUMPRODUCT(B119:B139+C119:C139*160)/21,0)</f>
        <v/>
      </c>
      <c r="I139" s="7">
        <f>IF(H139&gt;0,G139/H139,0)</f>
        <v/>
      </c>
    </row>
    <row r="140">
      <c r="A140" s="8" t="inlineStr">
        <is>
          <t>2026-08-20</t>
        </is>
      </c>
      <c r="B140" s="9" t="n">
        <v>314</v>
      </c>
      <c r="C140" s="9" t="n">
        <v>0</v>
      </c>
      <c r="D140" s="10">
        <f>D139+B140</f>
        <v/>
      </c>
      <c r="E140" s="10">
        <f>E139+C140</f>
        <v/>
      </c>
      <c r="F140" s="10">
        <f>D140/160+E140</f>
        <v/>
      </c>
      <c r="G140" s="10">
        <f>MAX((80-F140)*160,0)</f>
        <v/>
      </c>
      <c r="H140" s="10">
        <f>IF(21&gt;=21,SUMPRODUCT(B120:B140+C120:C140*160)/21,0)</f>
        <v/>
      </c>
      <c r="I140" s="10">
        <f>IF(H140&gt;0,G140/H140,0)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2026-08-20T17:53:10Z</dcterms:modified>
  <cp:lastModifiedBy>Rianna Santra</cp:lastModifiedBy>
</cp:coreProperties>
</file>