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8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  <row r="30">
      <c r="A30" s="8" t="inlineStr">
        <is>
          <t>2026-05-02</t>
        </is>
      </c>
      <c r="B30" s="9" t="n">
        <v>0</v>
      </c>
      <c r="C30" s="9" t="n">
        <v>0</v>
      </c>
      <c r="D30" s="10">
        <f>D29+B30</f>
        <v/>
      </c>
      <c r="E30" s="10">
        <f>E29+C30</f>
        <v/>
      </c>
      <c r="F30" s="10">
        <f>D30/160+E30</f>
        <v/>
      </c>
      <c r="G30" s="10">
        <f>MAX((80-F30)*160,0)</f>
        <v/>
      </c>
      <c r="H30" s="10">
        <f>IF(21&gt;=21,SUMPRODUCT(B10:B30+C10:C30*160)/21,0)</f>
        <v/>
      </c>
      <c r="I30" s="10">
        <f>IF(H30&gt;0,G30/H30,0)</f>
        <v/>
      </c>
    </row>
    <row r="31">
      <c r="A31" s="5" t="inlineStr">
        <is>
          <t>2026-05-03</t>
        </is>
      </c>
      <c r="B31" s="6" t="n">
        <v>80</v>
      </c>
      <c r="C31" s="6" t="n">
        <v>0</v>
      </c>
      <c r="D31" s="7">
        <f>D30+B31</f>
        <v/>
      </c>
      <c r="E31" s="7">
        <f>E30+C31</f>
        <v/>
      </c>
      <c r="F31" s="7">
        <f>D31/160+E31</f>
        <v/>
      </c>
      <c r="G31" s="7">
        <f>MAX((80-F31)*160,0)</f>
        <v/>
      </c>
      <c r="H31" s="7">
        <f>IF(21&gt;=21,SUMPRODUCT(B11:B31+C11:C31*160)/21,0)</f>
        <v/>
      </c>
      <c r="I31" s="7">
        <f>IF(H31&gt;0,G31/H31,0)</f>
        <v/>
      </c>
    </row>
    <row r="32">
      <c r="A32" s="8" t="inlineStr">
        <is>
          <t>2026-05-04</t>
        </is>
      </c>
      <c r="B32" s="9" t="n">
        <v>0</v>
      </c>
      <c r="C32" s="9" t="n">
        <v>0</v>
      </c>
      <c r="D32" s="10">
        <f>D31+B32</f>
        <v/>
      </c>
      <c r="E32" s="10">
        <f>E31+C32</f>
        <v/>
      </c>
      <c r="F32" s="10">
        <f>D32/160+E32</f>
        <v/>
      </c>
      <c r="G32" s="10">
        <f>MAX((80-F32)*160,0)</f>
        <v/>
      </c>
      <c r="H32" s="10">
        <f>IF(21&gt;=21,SUMPRODUCT(B12:B32+C12:C32*160)/21,0)</f>
        <v/>
      </c>
      <c r="I32" s="10">
        <f>IF(H32&gt;0,G32/H32,0)</f>
        <v/>
      </c>
    </row>
    <row r="33">
      <c r="A33" s="5" t="inlineStr">
        <is>
          <t>2026-05-05</t>
        </is>
      </c>
      <c r="B33" s="6" t="n">
        <v>60</v>
      </c>
      <c r="C33" s="6" t="n">
        <v>0</v>
      </c>
      <c r="D33" s="7">
        <f>D32+B33</f>
        <v/>
      </c>
      <c r="E33" s="7">
        <f>E32+C33</f>
        <v/>
      </c>
      <c r="F33" s="7">
        <f>D33/160+E33</f>
        <v/>
      </c>
      <c r="G33" s="7">
        <f>MAX((80-F33)*160,0)</f>
        <v/>
      </c>
      <c r="H33" s="7">
        <f>IF(21&gt;=21,SUMPRODUCT(B13:B33+C13:C33*160)/21,0)</f>
        <v/>
      </c>
      <c r="I33" s="7">
        <f>IF(H33&gt;0,G33/H33,0)</f>
        <v/>
      </c>
    </row>
    <row r="34">
      <c r="A34" s="8" t="inlineStr">
        <is>
          <t>2026-05-06</t>
        </is>
      </c>
      <c r="B34" s="9" t="n">
        <v>10</v>
      </c>
      <c r="C34" s="9" t="n">
        <v>0</v>
      </c>
      <c r="D34" s="10">
        <f>D33+B34</f>
        <v/>
      </c>
      <c r="E34" s="10">
        <f>E33+C34</f>
        <v/>
      </c>
      <c r="F34" s="10">
        <f>D34/160+E34</f>
        <v/>
      </c>
      <c r="G34" s="10">
        <f>MAX((80-F34)*160,0)</f>
        <v/>
      </c>
      <c r="H34" s="10">
        <f>IF(21&gt;=21,SUMPRODUCT(B14:B34+C14:C34*160)/21,0)</f>
        <v/>
      </c>
      <c r="I34" s="10">
        <f>IF(H34&gt;0,G34/H34,0)</f>
        <v/>
      </c>
    </row>
    <row r="35">
      <c r="A35" s="5" t="inlineStr">
        <is>
          <t>2026-05-07</t>
        </is>
      </c>
      <c r="B35" s="6" t="n">
        <v>120</v>
      </c>
      <c r="C35" s="6" t="n">
        <v>0</v>
      </c>
      <c r="D35" s="7">
        <f>D34+B35</f>
        <v/>
      </c>
      <c r="E35" s="7">
        <f>E34+C35</f>
        <v/>
      </c>
      <c r="F35" s="7">
        <f>D35/160+E35</f>
        <v/>
      </c>
      <c r="G35" s="7">
        <f>MAX((80-F35)*160,0)</f>
        <v/>
      </c>
      <c r="H35" s="7">
        <f>IF(21&gt;=21,SUMPRODUCT(B15:B35+C15:C35*160)/21,0)</f>
        <v/>
      </c>
      <c r="I35" s="7">
        <f>IF(H35&gt;0,G35/H35,0)</f>
        <v/>
      </c>
    </row>
    <row r="36">
      <c r="A36" s="8" t="inlineStr">
        <is>
          <t>2026-05-08</t>
        </is>
      </c>
      <c r="B36" s="9" t="n">
        <v>420</v>
      </c>
      <c r="C36" s="9" t="n">
        <v>0</v>
      </c>
      <c r="D36" s="10">
        <f>D35+B36</f>
        <v/>
      </c>
      <c r="E36" s="10">
        <f>E35+C36</f>
        <v/>
      </c>
      <c r="F36" s="10">
        <f>D36/160+E36</f>
        <v/>
      </c>
      <c r="G36" s="10">
        <f>MAX((80-F36)*160,0)</f>
        <v/>
      </c>
      <c r="H36" s="10">
        <f>IF(21&gt;=21,SUMPRODUCT(B16:B36+C16:C36*160)/21,0)</f>
        <v/>
      </c>
      <c r="I36" s="10">
        <f>IF(H36&gt;0,G36/H36,0)</f>
        <v/>
      </c>
    </row>
    <row r="37">
      <c r="A37" s="5" t="inlineStr">
        <is>
          <t>2026-05-09</t>
        </is>
      </c>
      <c r="B37" s="6" t="n">
        <v>188</v>
      </c>
      <c r="C37" s="6" t="n">
        <v>0</v>
      </c>
      <c r="D37" s="7">
        <f>D36+B37</f>
        <v/>
      </c>
      <c r="E37" s="7">
        <f>E36+C37</f>
        <v/>
      </c>
      <c r="F37" s="7">
        <f>D37/160+E37</f>
        <v/>
      </c>
      <c r="G37" s="7">
        <f>MAX((80-F37)*160,0)</f>
        <v/>
      </c>
      <c r="H37" s="7">
        <f>IF(21&gt;=21,SUMPRODUCT(B17:B37+C17:C37*160)/21,0)</f>
        <v/>
      </c>
      <c r="I37" s="7">
        <f>IF(H37&gt;0,G37/H37,0)</f>
        <v/>
      </c>
    </row>
    <row r="38">
      <c r="A38" s="8" t="inlineStr">
        <is>
          <t>2026-05-10</t>
        </is>
      </c>
      <c r="B38" s="9" t="n">
        <v>0</v>
      </c>
      <c r="C38" s="9" t="n">
        <v>0</v>
      </c>
      <c r="D38" s="10">
        <f>D37+B38</f>
        <v/>
      </c>
      <c r="E38" s="10">
        <f>E37+C38</f>
        <v/>
      </c>
      <c r="F38" s="10">
        <f>D38/160+E38</f>
        <v/>
      </c>
      <c r="G38" s="10">
        <f>MAX((80-F38)*160,0)</f>
        <v/>
      </c>
      <c r="H38" s="10">
        <f>IF(21&gt;=21,SUMPRODUCT(B18:B38+C18:C38*160)/21,0)</f>
        <v/>
      </c>
      <c r="I38" s="10">
        <f>IF(H38&gt;0,G38/H38,0)</f>
        <v/>
      </c>
    </row>
    <row r="39">
      <c r="A39" s="5" t="inlineStr">
        <is>
          <t>2026-05-11</t>
        </is>
      </c>
      <c r="B39" s="6" t="n">
        <v>0</v>
      </c>
      <c r="C39" s="6" t="n">
        <v>0</v>
      </c>
      <c r="D39" s="7">
        <f>D38+B39</f>
        <v/>
      </c>
      <c r="E39" s="7">
        <f>E38+C39</f>
        <v/>
      </c>
      <c r="F39" s="7">
        <f>D39/160+E39</f>
        <v/>
      </c>
      <c r="G39" s="7">
        <f>MAX((80-F39)*160,0)</f>
        <v/>
      </c>
      <c r="H39" s="7">
        <f>IF(21&gt;=21,SUMPRODUCT(B19:B39+C19:C39*160)/21,0)</f>
        <v/>
      </c>
      <c r="I39" s="7">
        <f>IF(H39&gt;0,G39/H39,0)</f>
        <v/>
      </c>
    </row>
    <row r="40">
      <c r="A40" s="8" t="inlineStr">
        <is>
          <t>2026-05-12</t>
        </is>
      </c>
      <c r="B40" s="9" t="n">
        <v>0</v>
      </c>
      <c r="C40" s="9" t="n">
        <v>0</v>
      </c>
      <c r="D40" s="10">
        <f>D39+B40</f>
        <v/>
      </c>
      <c r="E40" s="10">
        <f>E39+C40</f>
        <v/>
      </c>
      <c r="F40" s="10">
        <f>D40/160+E40</f>
        <v/>
      </c>
      <c r="G40" s="10">
        <f>MAX((80-F40)*160,0)</f>
        <v/>
      </c>
      <c r="H40" s="10">
        <f>IF(21&gt;=21,SUMPRODUCT(B20:B40+C20:C40*160)/21,0)</f>
        <v/>
      </c>
      <c r="I40" s="10">
        <f>IF(H40&gt;0,G40/H40,0)</f>
        <v/>
      </c>
    </row>
    <row r="41">
      <c r="A41" s="5" t="inlineStr">
        <is>
          <t>2026-05-13</t>
        </is>
      </c>
      <c r="B41" s="6" t="n">
        <v>0</v>
      </c>
      <c r="C41" s="6" t="n">
        <v>0</v>
      </c>
      <c r="D41" s="7">
        <f>D40+B41</f>
        <v/>
      </c>
      <c r="E41" s="7">
        <f>E40+C41</f>
        <v/>
      </c>
      <c r="F41" s="7">
        <f>D41/160+E41</f>
        <v/>
      </c>
      <c r="G41" s="7">
        <f>MAX((80-F41)*160,0)</f>
        <v/>
      </c>
      <c r="H41" s="7">
        <f>IF(21&gt;=21,SUMPRODUCT(B21:B41+C21:C41*160)/21,0)</f>
        <v/>
      </c>
      <c r="I41" s="7">
        <f>IF(H41&gt;0,G41/H41,0)</f>
        <v/>
      </c>
    </row>
    <row r="42">
      <c r="A42" s="8" t="inlineStr">
        <is>
          <t>2026-05-14</t>
        </is>
      </c>
      <c r="B42" s="9" t="n">
        <v>661</v>
      </c>
      <c r="C42" s="9" t="n">
        <v>0</v>
      </c>
      <c r="D42" s="10">
        <f>D41+B42</f>
        <v/>
      </c>
      <c r="E42" s="10">
        <f>E41+C42</f>
        <v/>
      </c>
      <c r="F42" s="10">
        <f>D42/160+E42</f>
        <v/>
      </c>
      <c r="G42" s="10">
        <f>MAX((80-F42)*160,0)</f>
        <v/>
      </c>
      <c r="H42" s="10">
        <f>IF(21&gt;=21,SUMPRODUCT(B22:B42+C22:C42*160)/21,0)</f>
        <v/>
      </c>
      <c r="I42" s="10">
        <f>IF(H42&gt;0,G42/H42,0)</f>
        <v/>
      </c>
    </row>
    <row r="43">
      <c r="A43" s="5" t="inlineStr">
        <is>
          <t>2026-05-15</t>
        </is>
      </c>
      <c r="B43" s="6" t="n">
        <v>0</v>
      </c>
      <c r="C43" s="6" t="n">
        <v>0</v>
      </c>
      <c r="D43" s="7">
        <f>D42+B43</f>
        <v/>
      </c>
      <c r="E43" s="7">
        <f>E42+C43</f>
        <v/>
      </c>
      <c r="F43" s="7">
        <f>D43/160+E43</f>
        <v/>
      </c>
      <c r="G43" s="7">
        <f>MAX((80-F43)*160,0)</f>
        <v/>
      </c>
      <c r="H43" s="7">
        <f>IF(21&gt;=21,SUMPRODUCT(B23:B43+C23:C43*160)/21,0)</f>
        <v/>
      </c>
      <c r="I43" s="7">
        <f>IF(H43&gt;0,G43/H43,0)</f>
        <v/>
      </c>
    </row>
    <row r="44">
      <c r="A44" s="8" t="inlineStr">
        <is>
          <t>2026-05-16</t>
        </is>
      </c>
      <c r="B44" s="9" t="n">
        <v>0</v>
      </c>
      <c r="C44" s="9" t="n">
        <v>0</v>
      </c>
      <c r="D44" s="10">
        <f>D43+B44</f>
        <v/>
      </c>
      <c r="E44" s="10">
        <f>E43+C44</f>
        <v/>
      </c>
      <c r="F44" s="10">
        <f>D44/160+E44</f>
        <v/>
      </c>
      <c r="G44" s="10">
        <f>MAX((80-F44)*160,0)</f>
        <v/>
      </c>
      <c r="H44" s="10">
        <f>IF(21&gt;=21,SUMPRODUCT(B24:B44+C24:C44*160)/21,0)</f>
        <v/>
      </c>
      <c r="I44" s="10">
        <f>IF(H44&gt;0,G44/H44,0)</f>
        <v/>
      </c>
    </row>
    <row r="45">
      <c r="A45" s="5" t="inlineStr">
        <is>
          <t>2026-05-17</t>
        </is>
      </c>
      <c r="B45" s="6" t="n">
        <v>60</v>
      </c>
      <c r="C45" s="6" t="n">
        <v>0</v>
      </c>
      <c r="D45" s="7">
        <f>D44+B45</f>
        <v/>
      </c>
      <c r="E45" s="7">
        <f>E44+C45</f>
        <v/>
      </c>
      <c r="F45" s="7">
        <f>D45/160+E45</f>
        <v/>
      </c>
      <c r="G45" s="7">
        <f>MAX((80-F45)*160,0)</f>
        <v/>
      </c>
      <c r="H45" s="7">
        <f>IF(21&gt;=21,SUMPRODUCT(B25:B45+C25:C45*160)/21,0)</f>
        <v/>
      </c>
      <c r="I45" s="7">
        <f>IF(H45&gt;0,G45/H45,0)</f>
        <v/>
      </c>
    </row>
    <row r="46">
      <c r="A46" s="8" t="inlineStr">
        <is>
          <t>2026-05-18</t>
        </is>
      </c>
      <c r="B46" s="9" t="n">
        <v>0</v>
      </c>
      <c r="C46" s="9" t="n">
        <v>0</v>
      </c>
      <c r="D46" s="10">
        <f>D45+B46</f>
        <v/>
      </c>
      <c r="E46" s="10">
        <f>E45+C46</f>
        <v/>
      </c>
      <c r="F46" s="10">
        <f>D46/160+E46</f>
        <v/>
      </c>
      <c r="G46" s="10">
        <f>MAX((80-F46)*160,0)</f>
        <v/>
      </c>
      <c r="H46" s="10">
        <f>IF(21&gt;=21,SUMPRODUCT(B26:B46+C26:C46*160)/21,0)</f>
        <v/>
      </c>
      <c r="I46" s="10">
        <f>IF(H46&gt;0,G46/H46,0)</f>
        <v/>
      </c>
    </row>
    <row r="47">
      <c r="A47" s="5" t="inlineStr">
        <is>
          <t>2026-05-19</t>
        </is>
      </c>
      <c r="B47" s="6" t="n">
        <v>0</v>
      </c>
      <c r="C47" s="6" t="n">
        <v>0</v>
      </c>
      <c r="D47" s="7">
        <f>D46+B47</f>
        <v/>
      </c>
      <c r="E47" s="7">
        <f>E46+C47</f>
        <v/>
      </c>
      <c r="F47" s="7">
        <f>D47/160+E47</f>
        <v/>
      </c>
      <c r="G47" s="7">
        <f>MAX((80-F47)*160,0)</f>
        <v/>
      </c>
      <c r="H47" s="7">
        <f>IF(21&gt;=21,SUMPRODUCT(B27:B47+C27:C47*160)/21,0)</f>
        <v/>
      </c>
      <c r="I47" s="7">
        <f>IF(H47&gt;0,G47/H47,0)</f>
        <v/>
      </c>
    </row>
    <row r="48">
      <c r="A48" s="8" t="inlineStr">
        <is>
          <t>2026-05-20</t>
        </is>
      </c>
      <c r="B48" s="9" t="n">
        <v>11</v>
      </c>
      <c r="C48" s="9" t="n">
        <v>0</v>
      </c>
      <c r="D48" s="10">
        <f>D47+B48</f>
        <v/>
      </c>
      <c r="E48" s="10">
        <f>E47+C48</f>
        <v/>
      </c>
      <c r="F48" s="10">
        <f>D48/160+E48</f>
        <v/>
      </c>
      <c r="G48" s="10">
        <f>MAX((80-F48)*160,0)</f>
        <v/>
      </c>
      <c r="H48" s="10">
        <f>IF(21&gt;=21,SUMPRODUCT(B28:B48+C28:C48*160)/21,0)</f>
        <v/>
      </c>
      <c r="I48" s="10">
        <f>IF(H48&gt;0,G48/H48,0)</f>
        <v/>
      </c>
    </row>
    <row r="49">
      <c r="A49" s="5" t="inlineStr">
        <is>
          <t>2026-05-21</t>
        </is>
      </c>
      <c r="B49" s="6" t="n">
        <v>80</v>
      </c>
      <c r="C49" s="6" t="n">
        <v>0</v>
      </c>
      <c r="D49" s="7">
        <f>D48+B49</f>
        <v/>
      </c>
      <c r="E49" s="7">
        <f>E48+C49</f>
        <v/>
      </c>
      <c r="F49" s="7">
        <f>D49/160+E49</f>
        <v/>
      </c>
      <c r="G49" s="7">
        <f>MAX((80-F49)*160,0)</f>
        <v/>
      </c>
      <c r="H49" s="7">
        <f>IF(21&gt;=21,SUMPRODUCT(B29:B49+C29:C49*160)/21,0)</f>
        <v/>
      </c>
      <c r="I49" s="7">
        <f>IF(H49&gt;0,G49/H49,0)</f>
        <v/>
      </c>
    </row>
    <row r="50">
      <c r="A50" s="8" t="inlineStr">
        <is>
          <t>2026-05-22</t>
        </is>
      </c>
      <c r="B50" s="9" t="n">
        <v>60</v>
      </c>
      <c r="C50" s="9" t="n">
        <v>0</v>
      </c>
      <c r="D50" s="10">
        <f>D49+B50</f>
        <v/>
      </c>
      <c r="E50" s="10">
        <f>E49+C50</f>
        <v/>
      </c>
      <c r="F50" s="10">
        <f>D50/160+E50</f>
        <v/>
      </c>
      <c r="G50" s="10">
        <f>MAX((80-F50)*160,0)</f>
        <v/>
      </c>
      <c r="H50" s="10">
        <f>IF(21&gt;=21,SUMPRODUCT(B30:B50+C30:C50*160)/21,0)</f>
        <v/>
      </c>
      <c r="I50" s="10">
        <f>IF(H50&gt;0,G50/H50,0)</f>
        <v/>
      </c>
    </row>
    <row r="51">
      <c r="A51" s="5" t="inlineStr">
        <is>
          <t>2026-05-23</t>
        </is>
      </c>
      <c r="B51" s="6" t="n">
        <v>200</v>
      </c>
      <c r="C51" s="6" t="n">
        <v>0</v>
      </c>
      <c r="D51" s="7">
        <f>D50+B51</f>
        <v/>
      </c>
      <c r="E51" s="7">
        <f>E50+C51</f>
        <v/>
      </c>
      <c r="F51" s="7">
        <f>D51/160+E51</f>
        <v/>
      </c>
      <c r="G51" s="7">
        <f>MAX((80-F51)*160,0)</f>
        <v/>
      </c>
      <c r="H51" s="7">
        <f>IF(21&gt;=21,SUMPRODUCT(B31:B51+C31:C51*160)/21,0)</f>
        <v/>
      </c>
      <c r="I51" s="7">
        <f>IF(H51&gt;0,G51/H51,0)</f>
        <v/>
      </c>
    </row>
    <row r="52">
      <c r="A52" s="8" t="inlineStr">
        <is>
          <t>2026-05-24</t>
        </is>
      </c>
      <c r="B52" s="9" t="n">
        <v>375</v>
      </c>
      <c r="C52" s="9" t="n">
        <v>0</v>
      </c>
      <c r="D52" s="10">
        <f>D51+B52</f>
        <v/>
      </c>
      <c r="E52" s="10">
        <f>E51+C52</f>
        <v/>
      </c>
      <c r="F52" s="10">
        <f>D52/160+E52</f>
        <v/>
      </c>
      <c r="G52" s="10">
        <f>MAX((80-F52)*160,0)</f>
        <v/>
      </c>
      <c r="H52" s="10">
        <f>IF(21&gt;=21,SUMPRODUCT(B32:B52+C32:C52*160)/21,0)</f>
        <v/>
      </c>
      <c r="I52" s="10">
        <f>IF(H52&gt;0,G52/H52,0)</f>
        <v/>
      </c>
    </row>
    <row r="53">
      <c r="A53" s="5" t="inlineStr">
        <is>
          <t>2026-05-25</t>
        </is>
      </c>
      <c r="B53" s="6" t="n">
        <v>70</v>
      </c>
      <c r="C53" s="6" t="n">
        <v>0</v>
      </c>
      <c r="D53" s="7">
        <f>D52+B53</f>
        <v/>
      </c>
      <c r="E53" s="7">
        <f>E52+C53</f>
        <v/>
      </c>
      <c r="F53" s="7">
        <f>D53/160+E53</f>
        <v/>
      </c>
      <c r="G53" s="7">
        <f>MAX((80-F53)*160,0)</f>
        <v/>
      </c>
      <c r="H53" s="7">
        <f>IF(21&gt;=21,SUMPRODUCT(B33:B53+C33:C53*160)/21,0)</f>
        <v/>
      </c>
      <c r="I53" s="7">
        <f>IF(H53&gt;0,G53/H53,0)</f>
        <v/>
      </c>
    </row>
    <row r="54">
      <c r="A54" s="8" t="inlineStr">
        <is>
          <t>2026-05-26</t>
        </is>
      </c>
      <c r="B54" s="9" t="n">
        <v>0</v>
      </c>
      <c r="C54" s="9" t="n">
        <v>0</v>
      </c>
      <c r="D54" s="10">
        <f>D53+B54</f>
        <v/>
      </c>
      <c r="E54" s="10">
        <f>E53+C54</f>
        <v/>
      </c>
      <c r="F54" s="10">
        <f>D54/160+E54</f>
        <v/>
      </c>
      <c r="G54" s="10">
        <f>MAX((80-F54)*160,0)</f>
        <v/>
      </c>
      <c r="H54" s="10">
        <f>IF(21&gt;=21,SUMPRODUCT(B34:B54+C34:C54*160)/21,0)</f>
        <v/>
      </c>
      <c r="I54" s="10">
        <f>IF(H54&gt;0,G54/H54,0)</f>
        <v/>
      </c>
    </row>
    <row r="55">
      <c r="A55" s="5" t="inlineStr">
        <is>
          <t>2026-05-27</t>
        </is>
      </c>
      <c r="B55" s="6" t="n">
        <v>0</v>
      </c>
      <c r="C55" s="6" t="n">
        <v>0</v>
      </c>
      <c r="D55" s="7">
        <f>D54+B55</f>
        <v/>
      </c>
      <c r="E55" s="7">
        <f>E54+C55</f>
        <v/>
      </c>
      <c r="F55" s="7">
        <f>D55/160+E55</f>
        <v/>
      </c>
      <c r="G55" s="7">
        <f>MAX((80-F55)*160,0)</f>
        <v/>
      </c>
      <c r="H55" s="7">
        <f>IF(21&gt;=21,SUMPRODUCT(B35:B55+C35:C55*160)/21,0)</f>
        <v/>
      </c>
      <c r="I55" s="7">
        <f>IF(H55&gt;0,G55/H55,0)</f>
        <v/>
      </c>
    </row>
    <row r="56">
      <c r="A56" s="8" t="inlineStr">
        <is>
          <t>2026-05-28</t>
        </is>
      </c>
      <c r="B56" s="9" t="n">
        <v>395</v>
      </c>
      <c r="C56" s="9" t="n">
        <v>0</v>
      </c>
      <c r="D56" s="10">
        <f>D55+B56</f>
        <v/>
      </c>
      <c r="E56" s="10">
        <f>E55+C56</f>
        <v/>
      </c>
      <c r="F56" s="10">
        <f>D56/160+E56</f>
        <v/>
      </c>
      <c r="G56" s="10">
        <f>MAX((80-F56)*160,0)</f>
        <v/>
      </c>
      <c r="H56" s="10">
        <f>IF(21&gt;=21,SUMPRODUCT(B36:B56+C36:C56*160)/21,0)</f>
        <v/>
      </c>
      <c r="I56" s="10">
        <f>IF(H56&gt;0,G56/H56,0)</f>
        <v/>
      </c>
    </row>
    <row r="57">
      <c r="A57" s="5" t="inlineStr">
        <is>
          <t>2026-05-29</t>
        </is>
      </c>
      <c r="B57" s="6" t="n">
        <v>0</v>
      </c>
      <c r="C57" s="6" t="n">
        <v>0</v>
      </c>
      <c r="D57" s="7">
        <f>D56+B57</f>
        <v/>
      </c>
      <c r="E57" s="7">
        <f>E56+C57</f>
        <v/>
      </c>
      <c r="F57" s="7">
        <f>D57/160+E57</f>
        <v/>
      </c>
      <c r="G57" s="7">
        <f>MAX((80-F57)*160,0)</f>
        <v/>
      </c>
      <c r="H57" s="7">
        <f>IF(21&gt;=21,SUMPRODUCT(B37:B57+C37:C57*160)/21,0)</f>
        <v/>
      </c>
      <c r="I57" s="7">
        <f>IF(H57&gt;0,G57/H57,0)</f>
        <v/>
      </c>
    </row>
    <row r="58">
      <c r="A58" s="8" t="inlineStr">
        <is>
          <t>2026-05-30</t>
        </is>
      </c>
      <c r="B58" s="9" t="n">
        <v>60</v>
      </c>
      <c r="C58" s="9" t="n">
        <v>0</v>
      </c>
      <c r="D58" s="10">
        <f>D57+B58</f>
        <v/>
      </c>
      <c r="E58" s="10">
        <f>E57+C58</f>
        <v/>
      </c>
      <c r="F58" s="10">
        <f>D58/160+E58</f>
        <v/>
      </c>
      <c r="G58" s="10">
        <f>MAX((80-F58)*160,0)</f>
        <v/>
      </c>
      <c r="H58" s="10">
        <f>IF(21&gt;=21,SUMPRODUCT(B38:B58+C38:C58*160)/21,0)</f>
        <v/>
      </c>
      <c r="I58" s="10">
        <f>IF(H58&gt;0,G58/H58,0)</f>
        <v/>
      </c>
    </row>
    <row r="59">
      <c r="A59" s="5" t="inlineStr">
        <is>
          <t>2026-05-31</t>
        </is>
      </c>
      <c r="B59" s="6" t="n">
        <v>0</v>
      </c>
      <c r="C59" s="6" t="n">
        <v>0</v>
      </c>
      <c r="D59" s="7">
        <f>D58+B59</f>
        <v/>
      </c>
      <c r="E59" s="7">
        <f>E58+C59</f>
        <v/>
      </c>
      <c r="F59" s="7">
        <f>D59/160+E59</f>
        <v/>
      </c>
      <c r="G59" s="7">
        <f>MAX((80-F59)*160,0)</f>
        <v/>
      </c>
      <c r="H59" s="7">
        <f>IF(21&gt;=21,SUMPRODUCT(B39:B59+C39:C59*160)/21,0)</f>
        <v/>
      </c>
      <c r="I59" s="7">
        <f>IF(H59&gt;0,G59/H59,0)</f>
        <v/>
      </c>
    </row>
    <row r="60">
      <c r="A60" s="8" t="inlineStr">
        <is>
          <t>2026-06-01</t>
        </is>
      </c>
      <c r="B60" s="9" t="n">
        <v>0</v>
      </c>
      <c r="C60" s="9" t="n">
        <v>0</v>
      </c>
      <c r="D60" s="10">
        <f>D59+B60</f>
        <v/>
      </c>
      <c r="E60" s="10">
        <f>E59+C60</f>
        <v/>
      </c>
      <c r="F60" s="10">
        <f>D60/160+E60</f>
        <v/>
      </c>
      <c r="G60" s="10">
        <f>MAX((80-F60)*160,0)</f>
        <v/>
      </c>
      <c r="H60" s="10">
        <f>IF(21&gt;=21,SUMPRODUCT(B40:B60+C40:C60*160)/21,0)</f>
        <v/>
      </c>
      <c r="I60" s="10">
        <f>IF(H60&gt;0,G60/H60,0)</f>
        <v/>
      </c>
    </row>
    <row r="61">
      <c r="A61" s="5" t="inlineStr">
        <is>
          <t>2026-06-02</t>
        </is>
      </c>
      <c r="B61" s="6" t="n">
        <v>0</v>
      </c>
      <c r="C61" s="6" t="n">
        <v>0</v>
      </c>
      <c r="D61" s="7">
        <f>D60+B61</f>
        <v/>
      </c>
      <c r="E61" s="7">
        <f>E60+C61</f>
        <v/>
      </c>
      <c r="F61" s="7">
        <f>D61/160+E61</f>
        <v/>
      </c>
      <c r="G61" s="7">
        <f>MAX((80-F61)*160,0)</f>
        <v/>
      </c>
      <c r="H61" s="7">
        <f>IF(21&gt;=21,SUMPRODUCT(B41:B61+C41:C61*160)/21,0)</f>
        <v/>
      </c>
      <c r="I61" s="7">
        <f>IF(H61&gt;0,G61/H61,0)</f>
        <v/>
      </c>
    </row>
    <row r="62">
      <c r="A62" s="8" t="inlineStr">
        <is>
          <t>2026-06-03</t>
        </is>
      </c>
      <c r="B62" s="9" t="n">
        <v>0</v>
      </c>
      <c r="C62" s="9" t="n">
        <v>0</v>
      </c>
      <c r="D62" s="10">
        <f>D61+B62</f>
        <v/>
      </c>
      <c r="E62" s="10">
        <f>E61+C62</f>
        <v/>
      </c>
      <c r="F62" s="10">
        <f>D62/160+E62</f>
        <v/>
      </c>
      <c r="G62" s="10">
        <f>MAX((80-F62)*160,0)</f>
        <v/>
      </c>
      <c r="H62" s="10">
        <f>IF(21&gt;=21,SUMPRODUCT(B42:B62+C42:C62*160)/21,0)</f>
        <v/>
      </c>
      <c r="I62" s="10">
        <f>IF(H62&gt;0,G62/H62,0)</f>
        <v/>
      </c>
    </row>
    <row r="63">
      <c r="A63" s="5" t="inlineStr">
        <is>
          <t>2026-06-04</t>
        </is>
      </c>
      <c r="B63" s="6" t="n">
        <v>0</v>
      </c>
      <c r="C63" s="6" t="n">
        <v>0</v>
      </c>
      <c r="D63" s="7">
        <f>D62+B63</f>
        <v/>
      </c>
      <c r="E63" s="7">
        <f>E62+C63</f>
        <v/>
      </c>
      <c r="F63" s="7">
        <f>D63/160+E63</f>
        <v/>
      </c>
      <c r="G63" s="7">
        <f>MAX((80-F63)*160,0)</f>
        <v/>
      </c>
      <c r="H63" s="7">
        <f>IF(21&gt;=21,SUMPRODUCT(B43:B63+C43:C63*160)/21,0)</f>
        <v/>
      </c>
      <c r="I63" s="7">
        <f>IF(H63&gt;0,G63/H63,0)</f>
        <v/>
      </c>
    </row>
    <row r="64">
      <c r="A64" s="8" t="inlineStr">
        <is>
          <t>2026-06-05</t>
        </is>
      </c>
      <c r="B64" s="9" t="n">
        <v>0</v>
      </c>
      <c r="C64" s="9" t="n">
        <v>0</v>
      </c>
      <c r="D64" s="10">
        <f>D63+B64</f>
        <v/>
      </c>
      <c r="E64" s="10">
        <f>E63+C64</f>
        <v/>
      </c>
      <c r="F64" s="10">
        <f>D64/160+E64</f>
        <v/>
      </c>
      <c r="G64" s="10">
        <f>MAX((80-F64)*160,0)</f>
        <v/>
      </c>
      <c r="H64" s="10">
        <f>IF(21&gt;=21,SUMPRODUCT(B44:B64+C44:C64*160)/21,0)</f>
        <v/>
      </c>
      <c r="I64" s="10">
        <f>IF(H64&gt;0,G64/H64,0)</f>
        <v/>
      </c>
    </row>
    <row r="65">
      <c r="A65" s="5" t="inlineStr">
        <is>
          <t>2026-06-06</t>
        </is>
      </c>
      <c r="B65" s="6" t="n">
        <v>0</v>
      </c>
      <c r="C65" s="6" t="n">
        <v>0</v>
      </c>
      <c r="D65" s="7">
        <f>D64+B65</f>
        <v/>
      </c>
      <c r="E65" s="7">
        <f>E64+C65</f>
        <v/>
      </c>
      <c r="F65" s="7">
        <f>D65/160+E65</f>
        <v/>
      </c>
      <c r="G65" s="7">
        <f>MAX((80-F65)*160,0)</f>
        <v/>
      </c>
      <c r="H65" s="7">
        <f>IF(21&gt;=21,SUMPRODUCT(B45:B65+C45:C65*160)/21,0)</f>
        <v/>
      </c>
      <c r="I65" s="7">
        <f>IF(H65&gt;0,G65/H65,0)</f>
        <v/>
      </c>
    </row>
    <row r="66">
      <c r="A66" s="8" t="inlineStr">
        <is>
          <t>2026-06-07</t>
        </is>
      </c>
      <c r="B66" s="9" t="n">
        <v>0</v>
      </c>
      <c r="C66" s="9" t="n">
        <v>0</v>
      </c>
      <c r="D66" s="10">
        <f>D65+B66</f>
        <v/>
      </c>
      <c r="E66" s="10">
        <f>E65+C66</f>
        <v/>
      </c>
      <c r="F66" s="10">
        <f>D66/160+E66</f>
        <v/>
      </c>
      <c r="G66" s="10">
        <f>MAX((80-F66)*160,0)</f>
        <v/>
      </c>
      <c r="H66" s="10">
        <f>IF(21&gt;=21,SUMPRODUCT(B46:B66+C46:C66*160)/21,0)</f>
        <v/>
      </c>
      <c r="I66" s="10">
        <f>IF(H66&gt;0,G66/H66,0)</f>
        <v/>
      </c>
    </row>
    <row r="67">
      <c r="A67" s="5" t="inlineStr">
        <is>
          <t>2026-06-08</t>
        </is>
      </c>
      <c r="B67" s="6" t="n">
        <v>0</v>
      </c>
      <c r="C67" s="6" t="n">
        <v>0</v>
      </c>
      <c r="D67" s="7">
        <f>D66+B67</f>
        <v/>
      </c>
      <c r="E67" s="7">
        <f>E66+C67</f>
        <v/>
      </c>
      <c r="F67" s="7">
        <f>D67/160+E67</f>
        <v/>
      </c>
      <c r="G67" s="7">
        <f>MAX((80-F67)*160,0)</f>
        <v/>
      </c>
      <c r="H67" s="7">
        <f>IF(21&gt;=21,SUMPRODUCT(B47:B67+C47:C67*160)/21,0)</f>
        <v/>
      </c>
      <c r="I67" s="7">
        <f>IF(H67&gt;0,G67/H67,0)</f>
        <v/>
      </c>
    </row>
    <row r="68">
      <c r="A68" s="8" t="inlineStr">
        <is>
          <t>2026-06-09</t>
        </is>
      </c>
      <c r="B68" s="9" t="n">
        <v>0</v>
      </c>
      <c r="C68" s="9" t="n">
        <v>0</v>
      </c>
      <c r="D68" s="10">
        <f>D67+B68</f>
        <v/>
      </c>
      <c r="E68" s="10">
        <f>E67+C68</f>
        <v/>
      </c>
      <c r="F68" s="10">
        <f>D68/160+E68</f>
        <v/>
      </c>
      <c r="G68" s="10">
        <f>MAX((80-F68)*160,0)</f>
        <v/>
      </c>
      <c r="H68" s="10">
        <f>IF(21&gt;=21,SUMPRODUCT(B48:B68+C48:C68*160)/21,0)</f>
        <v/>
      </c>
      <c r="I68" s="10">
        <f>IF(H68&gt;0,G68/H68,0)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2026-06-09T19:32:35Z</dcterms:modified>
  <cp:lastModifiedBy>Rianna Santra</cp:lastModifiedBy>
</cp:coreProperties>
</file>