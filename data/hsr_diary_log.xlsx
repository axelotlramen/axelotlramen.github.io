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2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  <row r="134">
      <c r="A134" s="29" t="inlineStr">
        <is>
          <t>2026-07-03</t>
        </is>
      </c>
      <c r="B134" s="30" t="n">
        <v>450</v>
      </c>
      <c r="C134" s="30" t="n">
        <v>0</v>
      </c>
      <c r="D134" s="31">
        <f>D133+B134</f>
        <v/>
      </c>
      <c r="E134" s="31">
        <f>E133+C134</f>
        <v/>
      </c>
      <c r="F134" s="31">
        <f>D134/160+E134</f>
        <v/>
      </c>
      <c r="G134" s="31">
        <f>MAX((80-F134)*160,0)</f>
        <v/>
      </c>
      <c r="H134" s="31">
        <f>IF(21&gt;=21,SUMPRODUCT(B114:B134+C114:C134*160)/21,0)</f>
        <v/>
      </c>
      <c r="I134" s="31">
        <f>IF(H134&gt;0,G134/H134,0)</f>
        <v/>
      </c>
    </row>
    <row r="135">
      <c r="A135" s="26" t="inlineStr">
        <is>
          <t>2026-07-04</t>
        </is>
      </c>
      <c r="B135" s="27" t="n">
        <v>150</v>
      </c>
      <c r="C135" s="27" t="n">
        <v>0</v>
      </c>
      <c r="D135" s="28">
        <f>D134+B135</f>
        <v/>
      </c>
      <c r="E135" s="28">
        <f>E134+C135</f>
        <v/>
      </c>
      <c r="F135" s="28">
        <f>D135/160+E135</f>
        <v/>
      </c>
      <c r="G135" s="28">
        <f>MAX((80-F135)*160,0)</f>
        <v/>
      </c>
      <c r="H135" s="28">
        <f>IF(21&gt;=21,SUMPRODUCT(B115:B135+C115:C135*160)/21,0)</f>
        <v/>
      </c>
      <c r="I135" s="28">
        <f>IF(H135&gt;0,G135/H135,0)</f>
        <v/>
      </c>
    </row>
    <row r="136">
      <c r="A136" s="29" t="inlineStr">
        <is>
          <t>2026-07-05</t>
        </is>
      </c>
      <c r="B136" s="30" t="n">
        <v>170</v>
      </c>
      <c r="C136" s="30" t="n">
        <v>0</v>
      </c>
      <c r="D136" s="31">
        <f>D135+B136</f>
        <v/>
      </c>
      <c r="E136" s="31">
        <f>E135+C136</f>
        <v/>
      </c>
      <c r="F136" s="31">
        <f>D136/160+E136</f>
        <v/>
      </c>
      <c r="G136" s="31">
        <f>MAX((80-F136)*160,0)</f>
        <v/>
      </c>
      <c r="H136" s="31">
        <f>IF(21&gt;=21,SUMPRODUCT(B116:B136+C116:C136*160)/21,0)</f>
        <v/>
      </c>
      <c r="I136" s="31">
        <f>IF(H136&gt;0,G136/H136,0)</f>
        <v/>
      </c>
    </row>
    <row r="137">
      <c r="A137" s="26" t="inlineStr">
        <is>
          <t>2026-07-06</t>
        </is>
      </c>
      <c r="B137" s="27" t="n">
        <v>870</v>
      </c>
      <c r="C137" s="27" t="n">
        <v>0</v>
      </c>
      <c r="D137" s="28">
        <f>D136+B137</f>
        <v/>
      </c>
      <c r="E137" s="28">
        <f>E136+C137</f>
        <v/>
      </c>
      <c r="F137" s="28">
        <f>D137/160+E137</f>
        <v/>
      </c>
      <c r="G137" s="28">
        <f>MAX((80-F137)*160,0)</f>
        <v/>
      </c>
      <c r="H137" s="28">
        <f>IF(21&gt;=21,SUMPRODUCT(B117:B137+C117:C137*160)/21,0)</f>
        <v/>
      </c>
      <c r="I137" s="28">
        <f>IF(H137&gt;0,G137/H137,0)</f>
        <v/>
      </c>
    </row>
    <row r="138">
      <c r="A138" s="29" t="inlineStr">
        <is>
          <t>2026-07-07</t>
        </is>
      </c>
      <c r="B138" s="30" t="n">
        <v>155</v>
      </c>
      <c r="C138" s="30" t="n">
        <v>0</v>
      </c>
      <c r="D138" s="31">
        <f>D137+B138</f>
        <v/>
      </c>
      <c r="E138" s="31">
        <f>E137+C138</f>
        <v/>
      </c>
      <c r="F138" s="31">
        <f>D138/160+E138</f>
        <v/>
      </c>
      <c r="G138" s="31">
        <f>MAX((80-F138)*160,0)</f>
        <v/>
      </c>
      <c r="H138" s="31">
        <f>IF(21&gt;=21,SUMPRODUCT(B118:B138+C118:C138*160)/21,0)</f>
        <v/>
      </c>
      <c r="I138" s="31">
        <f>IF(H138&gt;0,G138/H138,0)</f>
        <v/>
      </c>
    </row>
    <row r="139">
      <c r="A139" s="26" t="inlineStr">
        <is>
          <t>2026-07-08</t>
        </is>
      </c>
      <c r="B139" s="27" t="n">
        <v>150</v>
      </c>
      <c r="C139" s="27" t="n">
        <v>0</v>
      </c>
      <c r="D139" s="28">
        <f>D138+B139</f>
        <v/>
      </c>
      <c r="E139" s="28">
        <f>E138+C139</f>
        <v/>
      </c>
      <c r="F139" s="28">
        <f>D139/160+E139</f>
        <v/>
      </c>
      <c r="G139" s="28">
        <f>MAX((80-F139)*160,0)</f>
        <v/>
      </c>
      <c r="H139" s="28">
        <f>IF(21&gt;=21,SUMPRODUCT(B119:B139+C119:C139*160)/21,0)</f>
        <v/>
      </c>
      <c r="I139" s="28">
        <f>IF(H139&gt;0,G139/H139,0)</f>
        <v/>
      </c>
    </row>
    <row r="140">
      <c r="A140" s="29" t="inlineStr">
        <is>
          <t>2026-07-09</t>
        </is>
      </c>
      <c r="B140" s="30" t="n">
        <v>150</v>
      </c>
      <c r="C140" s="30" t="n">
        <v>0</v>
      </c>
      <c r="D140" s="31">
        <f>D139+B140</f>
        <v/>
      </c>
      <c r="E140" s="31">
        <f>E139+C140</f>
        <v/>
      </c>
      <c r="F140" s="31">
        <f>D140/160+E140</f>
        <v/>
      </c>
      <c r="G140" s="31">
        <f>MAX((80-F140)*160,0)</f>
        <v/>
      </c>
      <c r="H140" s="31">
        <f>IF(21&gt;=21,SUMPRODUCT(B120:B140+C120:C140*160)/21,0)</f>
        <v/>
      </c>
      <c r="I140" s="31">
        <f>IF(H140&gt;0,G140/H140,0)</f>
        <v/>
      </c>
    </row>
    <row r="141">
      <c r="A141" s="26" t="inlineStr">
        <is>
          <t>2026-07-10</t>
        </is>
      </c>
      <c r="B141" s="27" t="n">
        <v>150</v>
      </c>
      <c r="C141" s="27" t="n">
        <v>0</v>
      </c>
      <c r="D141" s="28">
        <f>D140+B141</f>
        <v/>
      </c>
      <c r="E141" s="28">
        <f>E140+C141</f>
        <v/>
      </c>
      <c r="F141" s="28">
        <f>D141/160+E141</f>
        <v/>
      </c>
      <c r="G141" s="28">
        <f>MAX((80-F141)*160,0)</f>
        <v/>
      </c>
      <c r="H141" s="28">
        <f>IF(21&gt;=21,SUMPRODUCT(B121:B141+C121:C141*160)/21,0)</f>
        <v/>
      </c>
      <c r="I141" s="28">
        <f>IF(H141&gt;0,G141/H141,0)</f>
        <v/>
      </c>
    </row>
    <row r="142">
      <c r="A142" s="29" t="inlineStr">
        <is>
          <t>2026-07-11</t>
        </is>
      </c>
      <c r="B142" s="30" t="n">
        <v>150</v>
      </c>
      <c r="C142" s="30" t="n">
        <v>0</v>
      </c>
      <c r="D142" s="31">
        <f>D141+B142</f>
        <v/>
      </c>
      <c r="E142" s="31">
        <f>E141+C142</f>
        <v/>
      </c>
      <c r="F142" s="31">
        <f>D142/160+E142</f>
        <v/>
      </c>
      <c r="G142" s="31">
        <f>MAX((80-F142)*160,0)</f>
        <v/>
      </c>
      <c r="H142" s="31">
        <f>IF(21&gt;=21,SUMPRODUCT(B122:B142+C122:C142*160)/21,0)</f>
        <v/>
      </c>
      <c r="I142" s="31">
        <f>IF(H142&gt;0,G142/H142,0)</f>
        <v/>
      </c>
    </row>
    <row r="143">
      <c r="A143" s="26" t="inlineStr">
        <is>
          <t>2026-07-12</t>
        </is>
      </c>
      <c r="B143" s="27" t="n">
        <v>150</v>
      </c>
      <c r="C143" s="27" t="n">
        <v>0</v>
      </c>
      <c r="D143" s="28">
        <f>D142+B143</f>
        <v/>
      </c>
      <c r="E143" s="28">
        <f>E142+C143</f>
        <v/>
      </c>
      <c r="F143" s="28">
        <f>D143/160+E143</f>
        <v/>
      </c>
      <c r="G143" s="28">
        <f>MAX((80-F143)*160,0)</f>
        <v/>
      </c>
      <c r="H143" s="28">
        <f>IF(21&gt;=21,SUMPRODUCT(B123:B143+C123:C143*160)/21,0)</f>
        <v/>
      </c>
      <c r="I143" s="28">
        <f>IF(H143&gt;0,G143/H143,0)</f>
        <v/>
      </c>
    </row>
    <row r="144">
      <c r="A144" s="29" t="inlineStr">
        <is>
          <t>2026-07-13</t>
        </is>
      </c>
      <c r="B144" s="30" t="n">
        <v>150</v>
      </c>
      <c r="C144" s="30" t="n">
        <v>0</v>
      </c>
      <c r="D144" s="31">
        <f>D143+B144</f>
        <v/>
      </c>
      <c r="E144" s="31">
        <f>E143+C144</f>
        <v/>
      </c>
      <c r="F144" s="31">
        <f>D144/160+E144</f>
        <v/>
      </c>
      <c r="G144" s="31">
        <f>MAX((80-F144)*160,0)</f>
        <v/>
      </c>
      <c r="H144" s="31">
        <f>IF(21&gt;=21,SUMPRODUCT(B124:B144+C124:C144*160)/21,0)</f>
        <v/>
      </c>
      <c r="I144" s="31">
        <f>IF(H144&gt;0,G144/H144,0)</f>
        <v/>
      </c>
    </row>
    <row r="145">
      <c r="A145" s="26" t="inlineStr">
        <is>
          <t>2026-07-14</t>
        </is>
      </c>
      <c r="B145" s="27" t="n">
        <v>375</v>
      </c>
      <c r="C145" s="27" t="n">
        <v>0</v>
      </c>
      <c r="D145" s="28">
        <f>D144+B145</f>
        <v/>
      </c>
      <c r="E145" s="28">
        <f>E144+C145</f>
        <v/>
      </c>
      <c r="F145" s="28">
        <f>D145/160+E145</f>
        <v/>
      </c>
      <c r="G145" s="28">
        <f>MAX((80-F145)*160,0)</f>
        <v/>
      </c>
      <c r="H145" s="28">
        <f>IF(21&gt;=21,SUMPRODUCT(B125:B145+C125:C145*160)/21,0)</f>
        <v/>
      </c>
      <c r="I145" s="28">
        <f>IF(H145&gt;0,G145/H145,0)</f>
        <v/>
      </c>
    </row>
    <row r="146">
      <c r="A146" s="29" t="inlineStr">
        <is>
          <t>2026-07-15</t>
        </is>
      </c>
      <c r="B146" s="30" t="n">
        <v>845</v>
      </c>
      <c r="C146" s="30" t="n">
        <v>0</v>
      </c>
      <c r="D146" s="31">
        <f>D145+B146</f>
        <v/>
      </c>
      <c r="E146" s="31">
        <f>E145+C146</f>
        <v/>
      </c>
      <c r="F146" s="31">
        <f>D146/160+E146</f>
        <v/>
      </c>
      <c r="G146" s="31">
        <f>MAX((80-F146)*160,0)</f>
        <v/>
      </c>
      <c r="H146" s="31">
        <f>IF(21&gt;=21,SUMPRODUCT(B126:B146+C126:C146*160)/21,0)</f>
        <v/>
      </c>
      <c r="I146" s="31">
        <f>IF(H146&gt;0,G146/H146,0)</f>
        <v/>
      </c>
    </row>
    <row r="147">
      <c r="A147" s="26" t="inlineStr">
        <is>
          <t>2026-07-16</t>
        </is>
      </c>
      <c r="B147" s="27" t="n">
        <v>195</v>
      </c>
      <c r="C147" s="27" t="n">
        <v>0</v>
      </c>
      <c r="D147" s="28">
        <f>D146+B147</f>
        <v/>
      </c>
      <c r="E147" s="28">
        <f>E146+C147</f>
        <v/>
      </c>
      <c r="F147" s="28">
        <f>D147/160+E147</f>
        <v/>
      </c>
      <c r="G147" s="28">
        <f>MAX((80-F147)*160,0)</f>
        <v/>
      </c>
      <c r="H147" s="28">
        <f>IF(21&gt;=21,SUMPRODUCT(B127:B147+C127:C147*160)/21,0)</f>
        <v/>
      </c>
      <c r="I147" s="28">
        <f>IF(H147&gt;0,G147/H147,0)</f>
        <v/>
      </c>
    </row>
    <row r="148">
      <c r="A148" s="29" t="inlineStr">
        <is>
          <t>2026-07-17</t>
        </is>
      </c>
      <c r="B148" s="30" t="n">
        <v>155</v>
      </c>
      <c r="C148" s="30" t="n">
        <v>0</v>
      </c>
      <c r="D148" s="31">
        <f>D147+B148</f>
        <v/>
      </c>
      <c r="E148" s="31">
        <f>E147+C148</f>
        <v/>
      </c>
      <c r="F148" s="31">
        <f>D148/160+E148</f>
        <v/>
      </c>
      <c r="G148" s="31">
        <f>MAX((80-F148)*160,0)</f>
        <v/>
      </c>
      <c r="H148" s="31">
        <f>IF(21&gt;=21,SUMPRODUCT(B128:B148+C128:C148*160)/21,0)</f>
        <v/>
      </c>
      <c r="I148" s="31">
        <f>IF(H148&gt;0,G148/H148,0)</f>
        <v/>
      </c>
    </row>
    <row r="149">
      <c r="A149" s="26" t="inlineStr">
        <is>
          <t>2026-07-18</t>
        </is>
      </c>
      <c r="B149" s="27" t="n">
        <v>150</v>
      </c>
      <c r="C149" s="27" t="n">
        <v>0</v>
      </c>
      <c r="D149" s="28">
        <f>D148+B149</f>
        <v/>
      </c>
      <c r="E149" s="28">
        <f>E148+C149</f>
        <v/>
      </c>
      <c r="F149" s="28">
        <f>D149/160+E149</f>
        <v/>
      </c>
      <c r="G149" s="28">
        <f>MAX((80-F149)*160,0)</f>
        <v/>
      </c>
      <c r="H149" s="28">
        <f>IF(21&gt;=21,SUMPRODUCT(B129:B149+C129:C149*160)/21,0)</f>
        <v/>
      </c>
      <c r="I149" s="28">
        <f>IF(H149&gt;0,G149/H149,0)</f>
        <v/>
      </c>
    </row>
    <row r="150">
      <c r="A150" s="29" t="inlineStr">
        <is>
          <t>2026-07-19</t>
        </is>
      </c>
      <c r="B150" s="30" t="n">
        <v>150</v>
      </c>
      <c r="C150" s="30" t="n">
        <v>0</v>
      </c>
      <c r="D150" s="31">
        <f>D149+B150</f>
        <v/>
      </c>
      <c r="E150" s="31">
        <f>E149+C150</f>
        <v/>
      </c>
      <c r="F150" s="31">
        <f>D150/160+E150</f>
        <v/>
      </c>
      <c r="G150" s="31">
        <f>MAX((80-F150)*160,0)</f>
        <v/>
      </c>
      <c r="H150" s="31">
        <f>IF(21&gt;=21,SUMPRODUCT(B130:B150+C130:C150*160)/21,0)</f>
        <v/>
      </c>
      <c r="I150" s="31">
        <f>IF(H150&gt;0,G150/H150,0)</f>
        <v/>
      </c>
    </row>
    <row r="151">
      <c r="A151" s="26" t="inlineStr">
        <is>
          <t>2026-07-20</t>
        </is>
      </c>
      <c r="B151" s="27" t="n">
        <v>1050</v>
      </c>
      <c r="C151" s="27" t="n">
        <v>0</v>
      </c>
      <c r="D151" s="28">
        <f>D150+B151</f>
        <v/>
      </c>
      <c r="E151" s="28">
        <f>E150+C151</f>
        <v/>
      </c>
      <c r="F151" s="28">
        <f>D151/160+E151</f>
        <v/>
      </c>
      <c r="G151" s="28">
        <f>MAX((80-F151)*160,0)</f>
        <v/>
      </c>
      <c r="H151" s="28">
        <f>IF(21&gt;=21,SUMPRODUCT(B131:B151+C131:C151*160)/21,0)</f>
        <v/>
      </c>
      <c r="I151" s="28">
        <f>IF(H151&gt;0,G151/H151,0)</f>
        <v/>
      </c>
    </row>
    <row r="152">
      <c r="A152" s="29" t="inlineStr">
        <is>
          <t>2026-07-21</t>
        </is>
      </c>
      <c r="B152" s="30" t="n">
        <v>150</v>
      </c>
      <c r="C152" s="30" t="n">
        <v>0</v>
      </c>
      <c r="D152" s="31">
        <f>D151+B152</f>
        <v/>
      </c>
      <c r="E152" s="31">
        <f>E151+C152</f>
        <v/>
      </c>
      <c r="F152" s="31">
        <f>D152/160+E152</f>
        <v/>
      </c>
      <c r="G152" s="31">
        <f>MAX((80-F152)*160,0)</f>
        <v/>
      </c>
      <c r="H152" s="31">
        <f>IF(21&gt;=21,SUMPRODUCT(B132:B152+C132:C152*160)/21,0)</f>
        <v/>
      </c>
      <c r="I152" s="31">
        <f>IF(H152&gt;0,G152/H152,0)</f>
        <v/>
      </c>
    </row>
    <row r="153">
      <c r="A153" s="26" t="inlineStr">
        <is>
          <t>2026-07-22</t>
        </is>
      </c>
      <c r="B153" s="27" t="n">
        <v>150</v>
      </c>
      <c r="C153" s="27" t="n">
        <v>0</v>
      </c>
      <c r="D153" s="28">
        <f>D152+B153</f>
        <v/>
      </c>
      <c r="E153" s="28">
        <f>E152+C153</f>
        <v/>
      </c>
      <c r="F153" s="28">
        <f>D153/160+E153</f>
        <v/>
      </c>
      <c r="G153" s="28">
        <f>MAX((80-F153)*160,0)</f>
        <v/>
      </c>
      <c r="H153" s="28">
        <f>IF(21&gt;=21,SUMPRODUCT(B133:B153+C133:C153*160)/21,0)</f>
        <v/>
      </c>
      <c r="I153" s="28">
        <f>IF(H153&gt;0,G153/H153,0)</f>
        <v/>
      </c>
    </row>
    <row r="154">
      <c r="A154" s="29" t="inlineStr">
        <is>
          <t>2026-07-23</t>
        </is>
      </c>
      <c r="B154" s="30" t="n">
        <v>150</v>
      </c>
      <c r="C154" s="30" t="n">
        <v>0</v>
      </c>
      <c r="D154" s="31">
        <f>D153+B154</f>
        <v/>
      </c>
      <c r="E154" s="31">
        <f>E153+C154</f>
        <v/>
      </c>
      <c r="F154" s="31">
        <f>D154/160+E154</f>
        <v/>
      </c>
      <c r="G154" s="31">
        <f>MAX((80-F154)*160,0)</f>
        <v/>
      </c>
      <c r="H154" s="31">
        <f>IF(21&gt;=21,SUMPRODUCT(B134:B154+C134:C154*160)/21,0)</f>
        <v/>
      </c>
      <c r="I154" s="31">
        <f>IF(H154&gt;0,G154/H154,0)</f>
        <v/>
      </c>
    </row>
    <row r="155">
      <c r="A155" s="26" t="inlineStr">
        <is>
          <t>2026-07-24</t>
        </is>
      </c>
      <c r="B155" s="27" t="n">
        <v>150</v>
      </c>
      <c r="C155" s="27" t="n">
        <v>0</v>
      </c>
      <c r="D155" s="28">
        <f>D154+B155</f>
        <v/>
      </c>
      <c r="E155" s="28">
        <f>E154+C155</f>
        <v/>
      </c>
      <c r="F155" s="28">
        <f>D155/160+E155</f>
        <v/>
      </c>
      <c r="G155" s="28">
        <f>MAX((80-F155)*160,0)</f>
        <v/>
      </c>
      <c r="H155" s="28">
        <f>IF(21&gt;=21,SUMPRODUCT(B135:B155+C135:C155*160)/21,0)</f>
        <v/>
      </c>
      <c r="I155" s="28">
        <f>IF(H155&gt;0,G155/H155,0)</f>
        <v/>
      </c>
    </row>
    <row r="156">
      <c r="A156" s="29" t="inlineStr">
        <is>
          <t>2026-07-25</t>
        </is>
      </c>
      <c r="B156" s="30" t="n">
        <v>445</v>
      </c>
      <c r="C156" s="30" t="n">
        <v>0</v>
      </c>
      <c r="D156" s="31">
        <f>D155+B156</f>
        <v/>
      </c>
      <c r="E156" s="31">
        <f>E155+C156</f>
        <v/>
      </c>
      <c r="F156" s="31">
        <f>D156/160+E156</f>
        <v/>
      </c>
      <c r="G156" s="31">
        <f>MAX((80-F156)*160,0)</f>
        <v/>
      </c>
      <c r="H156" s="31">
        <f>IF(21&gt;=21,SUMPRODUCT(B136:B156+C136:C156*160)/21,0)</f>
        <v/>
      </c>
      <c r="I156" s="31">
        <f>IF(H156&gt;0,G156/H156,0)</f>
        <v/>
      </c>
    </row>
    <row r="157">
      <c r="A157" s="26" t="inlineStr">
        <is>
          <t>2026-07-26</t>
        </is>
      </c>
      <c r="B157" s="27" t="n">
        <v>155</v>
      </c>
      <c r="C157" s="27" t="n">
        <v>0</v>
      </c>
      <c r="D157" s="28">
        <f>D156+B157</f>
        <v/>
      </c>
      <c r="E157" s="28">
        <f>E156+C157</f>
        <v/>
      </c>
      <c r="F157" s="28">
        <f>D157/160+E157</f>
        <v/>
      </c>
      <c r="G157" s="28">
        <f>MAX((80-F157)*160,0)</f>
        <v/>
      </c>
      <c r="H157" s="28">
        <f>IF(21&gt;=21,SUMPRODUCT(B137:B157+C137:C157*160)/21,0)</f>
        <v/>
      </c>
      <c r="I157" s="28">
        <f>IF(H157&gt;0,G157/H157,0)</f>
        <v/>
      </c>
    </row>
    <row r="158">
      <c r="A158" s="29" t="inlineStr">
        <is>
          <t>2026-07-27</t>
        </is>
      </c>
      <c r="B158" s="30" t="n">
        <v>170</v>
      </c>
      <c r="C158" s="30" t="n">
        <v>0</v>
      </c>
      <c r="D158" s="31">
        <f>D157+B158</f>
        <v/>
      </c>
      <c r="E158" s="31">
        <f>E157+C158</f>
        <v/>
      </c>
      <c r="F158" s="31">
        <f>D158/160+E158</f>
        <v/>
      </c>
      <c r="G158" s="31">
        <f>MAX((80-F158)*160,0)</f>
        <v/>
      </c>
      <c r="H158" s="31">
        <f>IF(21&gt;=21,SUMPRODUCT(B138:B158+C138:C158*160)/21,0)</f>
        <v/>
      </c>
      <c r="I158" s="31">
        <f>IF(H158&gt;0,G158/H158,0)</f>
        <v/>
      </c>
    </row>
    <row r="159">
      <c r="A159" s="26" t="inlineStr">
        <is>
          <t>2026-07-28</t>
        </is>
      </c>
      <c r="B159" s="27" t="n">
        <v>520</v>
      </c>
      <c r="C159" s="27" t="n">
        <v>0</v>
      </c>
      <c r="D159" s="28">
        <f>D158+B159</f>
        <v/>
      </c>
      <c r="E159" s="28">
        <f>E158+C159</f>
        <v/>
      </c>
      <c r="F159" s="28">
        <f>D159/160+E159</f>
        <v/>
      </c>
      <c r="G159" s="28">
        <f>MAX((80-F159)*160,0)</f>
        <v/>
      </c>
      <c r="H159" s="28">
        <f>IF(21&gt;=21,SUMPRODUCT(B139:B159+C139:C159*160)/21,0)</f>
        <v/>
      </c>
      <c r="I159" s="28">
        <f>IF(H159&gt;0,G159/H159,0)</f>
        <v/>
      </c>
    </row>
    <row r="160">
      <c r="A160" s="29" t="inlineStr">
        <is>
          <t>2026-07-29</t>
        </is>
      </c>
      <c r="B160" s="30" t="n">
        <v>150</v>
      </c>
      <c r="C160" s="30" t="n">
        <v>0</v>
      </c>
      <c r="D160" s="31">
        <f>D159+B160</f>
        <v/>
      </c>
      <c r="E160" s="31">
        <f>E159+C160</f>
        <v/>
      </c>
      <c r="F160" s="31">
        <f>D160/160+E160</f>
        <v/>
      </c>
      <c r="G160" s="31">
        <f>MAX((80-F160)*160,0)</f>
        <v/>
      </c>
      <c r="H160" s="31">
        <f>IF(21&gt;=21,SUMPRODUCT(B140:B160+C140:C160*160)/21,0)</f>
        <v/>
      </c>
      <c r="I160" s="31">
        <f>IF(H160&gt;0,G160/H160,0)</f>
        <v/>
      </c>
    </row>
    <row r="161">
      <c r="A161" s="26" t="inlineStr">
        <is>
          <t>2026-07-30</t>
        </is>
      </c>
      <c r="B161" s="27" t="n">
        <v>150</v>
      </c>
      <c r="C161" s="27" t="n">
        <v>0</v>
      </c>
      <c r="D161" s="28">
        <f>D160+B161</f>
        <v/>
      </c>
      <c r="E161" s="28">
        <f>E160+C161</f>
        <v/>
      </c>
      <c r="F161" s="28">
        <f>D161/160+E161</f>
        <v/>
      </c>
      <c r="G161" s="28">
        <f>MAX((80-F161)*160,0)</f>
        <v/>
      </c>
      <c r="H161" s="28">
        <f>IF(21&gt;=21,SUMPRODUCT(B141:B161+C141:C161*160)/21,0)</f>
        <v/>
      </c>
      <c r="I161" s="28">
        <f>IF(H161&gt;0,G161/H161,0)</f>
        <v/>
      </c>
    </row>
    <row r="162">
      <c r="A162" s="29" t="inlineStr">
        <is>
          <t>2026-07-31</t>
        </is>
      </c>
      <c r="B162" s="30" t="n">
        <v>325</v>
      </c>
      <c r="C162" s="30" t="n">
        <v>0</v>
      </c>
      <c r="D162" s="31">
        <f>D161+B162</f>
        <v/>
      </c>
      <c r="E162" s="31">
        <f>E161+C162</f>
        <v/>
      </c>
      <c r="F162" s="31">
        <f>D162/160+E162</f>
        <v/>
      </c>
      <c r="G162" s="31">
        <f>MAX((80-F162)*160,0)</f>
        <v/>
      </c>
      <c r="H162" s="31">
        <f>IF(21&gt;=21,SUMPRODUCT(B142:B162+C142:C162*160)/21,0)</f>
        <v/>
      </c>
      <c r="I162" s="31">
        <f>IF(H162&gt;0,G162/H162,0)</f>
        <v/>
      </c>
    </row>
    <row r="163">
      <c r="A163" s="26" t="inlineStr">
        <is>
          <t>2026-08-01</t>
        </is>
      </c>
      <c r="B163" s="27" t="n">
        <v>150</v>
      </c>
      <c r="C163" s="27" t="n">
        <v>0</v>
      </c>
      <c r="D163" s="28">
        <f>D162+B163</f>
        <v/>
      </c>
      <c r="E163" s="28">
        <f>E162+C163</f>
        <v/>
      </c>
      <c r="F163" s="28">
        <f>D163/160+E163</f>
        <v/>
      </c>
      <c r="G163" s="28">
        <f>MAX((80-F163)*160,0)</f>
        <v/>
      </c>
      <c r="H163" s="28">
        <f>IF(21&gt;=21,SUMPRODUCT(B143:B163+C143:C163*160)/21,0)</f>
        <v/>
      </c>
      <c r="I163" s="28">
        <f>IF(H163&gt;0,G163/H163,0)</f>
        <v/>
      </c>
    </row>
    <row r="164">
      <c r="A164" s="29" t="inlineStr">
        <is>
          <t>2026-08-02</t>
        </is>
      </c>
      <c r="B164" s="30" t="n">
        <v>150</v>
      </c>
      <c r="C164" s="30" t="n">
        <v>0</v>
      </c>
      <c r="D164" s="31">
        <f>D163+B164</f>
        <v/>
      </c>
      <c r="E164" s="31">
        <f>E163+C164</f>
        <v/>
      </c>
      <c r="F164" s="31">
        <f>D164/160+E164</f>
        <v/>
      </c>
      <c r="G164" s="31">
        <f>MAX((80-F164)*160,0)</f>
        <v/>
      </c>
      <c r="H164" s="31">
        <f>IF(21&gt;=21,SUMPRODUCT(B144:B164+C144:C164*160)/21,0)</f>
        <v/>
      </c>
      <c r="I164" s="31">
        <f>IF(H164&gt;0,G164/H164,0)</f>
        <v/>
      </c>
    </row>
    <row r="165">
      <c r="A165" s="26" t="inlineStr">
        <is>
          <t>2026-08-03</t>
        </is>
      </c>
      <c r="B165" s="27" t="n">
        <v>1050</v>
      </c>
      <c r="C165" s="27" t="n">
        <v>0</v>
      </c>
      <c r="D165" s="28">
        <f>D164+B165</f>
        <v/>
      </c>
      <c r="E165" s="28">
        <f>E164+C165</f>
        <v/>
      </c>
      <c r="F165" s="28">
        <f>D165/160+E165</f>
        <v/>
      </c>
      <c r="G165" s="28">
        <f>MAX((80-F165)*160,0)</f>
        <v/>
      </c>
      <c r="H165" s="28">
        <f>IF(21&gt;=21,SUMPRODUCT(B145:B165+C145:C165*160)/21,0)</f>
        <v/>
      </c>
      <c r="I165" s="28">
        <f>IF(H165&gt;0,G165/H165,0)</f>
        <v/>
      </c>
    </row>
    <row r="166">
      <c r="A166" s="29" t="inlineStr">
        <is>
          <t>2026-08-04</t>
        </is>
      </c>
      <c r="B166" s="30" t="n">
        <v>170</v>
      </c>
      <c r="C166" s="30" t="n">
        <v>0</v>
      </c>
      <c r="D166" s="31">
        <f>D165+B166</f>
        <v/>
      </c>
      <c r="E166" s="31">
        <f>E165+C166</f>
        <v/>
      </c>
      <c r="F166" s="31">
        <f>D166/160+E166</f>
        <v/>
      </c>
      <c r="G166" s="31">
        <f>MAX((80-F166)*160,0)</f>
        <v/>
      </c>
      <c r="H166" s="31">
        <f>IF(21&gt;=21,SUMPRODUCT(B146:B166+C146:C166*160)/21,0)</f>
        <v/>
      </c>
      <c r="I166" s="31">
        <f>IF(H166&gt;0,G166/H166,0)</f>
        <v/>
      </c>
    </row>
    <row r="167">
      <c r="A167" s="26" t="inlineStr">
        <is>
          <t>2026-08-05</t>
        </is>
      </c>
      <c r="B167" s="27" t="n">
        <v>150</v>
      </c>
      <c r="C167" s="27" t="n">
        <v>0</v>
      </c>
      <c r="D167" s="28">
        <f>D166+B167</f>
        <v/>
      </c>
      <c r="E167" s="28">
        <f>E166+C167</f>
        <v/>
      </c>
      <c r="F167" s="28">
        <f>D167/160+E167</f>
        <v/>
      </c>
      <c r="G167" s="28">
        <f>MAX((80-F167)*160,0)</f>
        <v/>
      </c>
      <c r="H167" s="28">
        <f>IF(21&gt;=21,SUMPRODUCT(B147:B167+C147:C167*160)/21,0)</f>
        <v/>
      </c>
      <c r="I167" s="28">
        <f>IF(H167&gt;0,G167/H167,0)</f>
        <v/>
      </c>
    </row>
    <row r="168">
      <c r="A168" s="29" t="inlineStr">
        <is>
          <t>2026-08-06</t>
        </is>
      </c>
      <c r="B168" s="30" t="n">
        <v>150</v>
      </c>
      <c r="C168" s="30" t="n">
        <v>0</v>
      </c>
      <c r="D168" s="31">
        <f>D167+B168</f>
        <v/>
      </c>
      <c r="E168" s="31">
        <f>E167+C168</f>
        <v/>
      </c>
      <c r="F168" s="31">
        <f>D168/160+E168</f>
        <v/>
      </c>
      <c r="G168" s="31">
        <f>MAX((80-F168)*160,0)</f>
        <v/>
      </c>
      <c r="H168" s="31">
        <f>IF(21&gt;=21,SUMPRODUCT(B148:B168+C148:C168*160)/21,0)</f>
        <v/>
      </c>
      <c r="I168" s="31">
        <f>IF(H168&gt;0,G168/H168,0)</f>
        <v/>
      </c>
    </row>
    <row r="169">
      <c r="A169" s="26" t="inlineStr">
        <is>
          <t>2026-08-07</t>
        </is>
      </c>
      <c r="B169" s="27" t="n">
        <v>0</v>
      </c>
      <c r="C169" s="27" t="n">
        <v>0</v>
      </c>
      <c r="D169" s="28">
        <f>D168+B169</f>
        <v/>
      </c>
      <c r="E169" s="28">
        <f>E168+C169</f>
        <v/>
      </c>
      <c r="F169" s="28">
        <f>D169/160+E169</f>
        <v/>
      </c>
      <c r="G169" s="28">
        <f>MAX((80-F169)*160,0)</f>
        <v/>
      </c>
      <c r="H169" s="28">
        <f>IF(21&gt;=21,SUMPRODUCT(B149:B169+C149:C169*160)/21,0)</f>
        <v/>
      </c>
      <c r="I169" s="28">
        <f>IF(H169&gt;0,G169/H169,0)</f>
        <v/>
      </c>
    </row>
    <row r="170">
      <c r="A170" s="29" t="inlineStr">
        <is>
          <t>2026-08-08</t>
        </is>
      </c>
      <c r="B170" s="30" t="n">
        <v>150</v>
      </c>
      <c r="C170" s="30" t="n">
        <v>0</v>
      </c>
      <c r="D170" s="31">
        <f>D169+B170</f>
        <v/>
      </c>
      <c r="E170" s="31">
        <f>E169+C170</f>
        <v/>
      </c>
      <c r="F170" s="31">
        <f>D170/160+E170</f>
        <v/>
      </c>
      <c r="G170" s="31">
        <f>MAX((80-F170)*160,0)</f>
        <v/>
      </c>
      <c r="H170" s="31">
        <f>IF(21&gt;=21,SUMPRODUCT(B150:B170+C150:C170*160)/21,0)</f>
        <v/>
      </c>
      <c r="I170" s="31">
        <f>IF(H170&gt;0,G170/H170,0)</f>
        <v/>
      </c>
    </row>
    <row r="171">
      <c r="A171" s="26" t="inlineStr">
        <is>
          <t>2026-08-09</t>
        </is>
      </c>
      <c r="B171" s="27" t="n">
        <v>150</v>
      </c>
      <c r="C171" s="27" t="n">
        <v>0</v>
      </c>
      <c r="D171" s="28">
        <f>D170+B171</f>
        <v/>
      </c>
      <c r="E171" s="28">
        <f>E170+C171</f>
        <v/>
      </c>
      <c r="F171" s="28">
        <f>D171/160+E171</f>
        <v/>
      </c>
      <c r="G171" s="28">
        <f>MAX((80-F171)*160,0)</f>
        <v/>
      </c>
      <c r="H171" s="28">
        <f>IF(21&gt;=21,SUMPRODUCT(B151:B171+C151:C171*160)/21,0)</f>
        <v/>
      </c>
      <c r="I171" s="28">
        <f>IF(H171&gt;0,G171/H171,0)</f>
        <v/>
      </c>
    </row>
    <row r="172">
      <c r="A172" s="29" t="inlineStr">
        <is>
          <t>2026-08-10</t>
        </is>
      </c>
      <c r="B172" s="30" t="n">
        <v>150</v>
      </c>
      <c r="C172" s="30" t="n">
        <v>0</v>
      </c>
      <c r="D172" s="31">
        <f>D171+B172</f>
        <v/>
      </c>
      <c r="E172" s="31">
        <f>E171+C172</f>
        <v/>
      </c>
      <c r="F172" s="31">
        <f>D172/160+E172</f>
        <v/>
      </c>
      <c r="G172" s="31">
        <f>MAX((80-F172)*160,0)</f>
        <v/>
      </c>
      <c r="H172" s="31">
        <f>IF(21&gt;=21,SUMPRODUCT(B152:B172+C152:C172*160)/21,0)</f>
        <v/>
      </c>
      <c r="I172" s="31">
        <f>IF(H172&gt;0,G172/H172,0)</f>
        <v/>
      </c>
    </row>
    <row r="173">
      <c r="A173" s="26" t="inlineStr">
        <is>
          <t>2026-08-11</t>
        </is>
      </c>
      <c r="B173" s="27" t="n">
        <v>0</v>
      </c>
      <c r="C173" s="27" t="n">
        <v>0</v>
      </c>
      <c r="D173" s="28">
        <f>D172+B173</f>
        <v/>
      </c>
      <c r="E173" s="28">
        <f>E172+C173</f>
        <v/>
      </c>
      <c r="F173" s="28">
        <f>D173/160+E173</f>
        <v/>
      </c>
      <c r="G173" s="28">
        <f>MAX((80-F173)*160,0)</f>
        <v/>
      </c>
      <c r="H173" s="28">
        <f>IF(21&gt;=21,SUMPRODUCT(B153:B173+C153:C173*160)/21,0)</f>
        <v/>
      </c>
      <c r="I173" s="28">
        <f>IF(H173&gt;0,G173/H173,0)</f>
        <v/>
      </c>
    </row>
    <row r="174">
      <c r="A174" s="29" t="inlineStr">
        <is>
          <t>2026-08-12</t>
        </is>
      </c>
      <c r="B174" s="30" t="n">
        <v>170</v>
      </c>
      <c r="C174" s="30" t="n">
        <v>0</v>
      </c>
      <c r="D174" s="31">
        <f>D173+B174</f>
        <v/>
      </c>
      <c r="E174" s="31">
        <f>E173+C174</f>
        <v/>
      </c>
      <c r="F174" s="31">
        <f>D174/160+E174</f>
        <v/>
      </c>
      <c r="G174" s="31">
        <f>MAX((80-F174)*160,0)</f>
        <v/>
      </c>
      <c r="H174" s="31">
        <f>IF(21&gt;=21,SUMPRODUCT(B154:B174+C154:C174*160)/21,0)</f>
        <v/>
      </c>
      <c r="I174" s="31">
        <f>IF(H174&gt;0,G174/H174,0)</f>
        <v/>
      </c>
    </row>
    <row r="175">
      <c r="A175" s="26" t="inlineStr">
        <is>
          <t>2026-08-13</t>
        </is>
      </c>
      <c r="B175" s="27" t="n">
        <v>0</v>
      </c>
      <c r="C175" s="27" t="n">
        <v>0</v>
      </c>
      <c r="D175" s="28">
        <f>D174+B175</f>
        <v/>
      </c>
      <c r="E175" s="28">
        <f>E174+C175</f>
        <v/>
      </c>
      <c r="F175" s="28">
        <f>D175/160+E175</f>
        <v/>
      </c>
      <c r="G175" s="28">
        <f>MAX((80-F175)*160,0)</f>
        <v/>
      </c>
      <c r="H175" s="28">
        <f>IF(21&gt;=21,SUMPRODUCT(B155:B175+C155:C175*160)/21,0)</f>
        <v/>
      </c>
      <c r="I175" s="28">
        <f>IF(H175&gt;0,G175/H175,0)</f>
        <v/>
      </c>
    </row>
    <row r="176">
      <c r="A176" s="29" t="inlineStr">
        <is>
          <t>2026-08-14</t>
        </is>
      </c>
      <c r="B176" s="30" t="n">
        <v>100</v>
      </c>
      <c r="C176" s="30" t="n">
        <v>0</v>
      </c>
      <c r="D176" s="31">
        <f>D175+B176</f>
        <v/>
      </c>
      <c r="E176" s="31">
        <f>E175+C176</f>
        <v/>
      </c>
      <c r="F176" s="31">
        <f>D176/160+E176</f>
        <v/>
      </c>
      <c r="G176" s="31">
        <f>MAX((80-F176)*160,0)</f>
        <v/>
      </c>
      <c r="H176" s="31">
        <f>IF(21&gt;=21,SUMPRODUCT(B156:B176+C156:C176*160)/21,0)</f>
        <v/>
      </c>
      <c r="I176" s="31">
        <f>IF(H176&gt;0,G176/H176,0)</f>
        <v/>
      </c>
    </row>
    <row r="177">
      <c r="A177" s="26" t="inlineStr">
        <is>
          <t>2026-08-15</t>
        </is>
      </c>
      <c r="B177" s="27" t="n">
        <v>0</v>
      </c>
      <c r="C177" s="27" t="n">
        <v>0</v>
      </c>
      <c r="D177" s="28">
        <f>D176+B177</f>
        <v/>
      </c>
      <c r="E177" s="28">
        <f>E176+C177</f>
        <v/>
      </c>
      <c r="F177" s="28">
        <f>D177/160+E177</f>
        <v/>
      </c>
      <c r="G177" s="28">
        <f>MAX((80-F177)*160,0)</f>
        <v/>
      </c>
      <c r="H177" s="28">
        <f>IF(21&gt;=21,SUMPRODUCT(B157:B177+C157:C177*160)/21,0)</f>
        <v/>
      </c>
      <c r="I177" s="28">
        <f>IF(H177&gt;0,G177/H177,0)</f>
        <v/>
      </c>
    </row>
    <row r="178">
      <c r="A178" s="29" t="inlineStr">
        <is>
          <t>2026-08-16</t>
        </is>
      </c>
      <c r="B178" s="30" t="n">
        <v>200</v>
      </c>
      <c r="C178" s="30" t="n">
        <v>0</v>
      </c>
      <c r="D178" s="31">
        <f>D177+B178</f>
        <v/>
      </c>
      <c r="E178" s="31">
        <f>E177+C178</f>
        <v/>
      </c>
      <c r="F178" s="31">
        <f>D178/160+E178</f>
        <v/>
      </c>
      <c r="G178" s="31">
        <f>MAX((80-F178)*160,0)</f>
        <v/>
      </c>
      <c r="H178" s="31">
        <f>IF(21&gt;=21,SUMPRODUCT(B158:B178+C158:C178*160)/21,0)</f>
        <v/>
      </c>
      <c r="I178" s="31">
        <f>IF(H178&gt;0,G178/H178,0)</f>
        <v/>
      </c>
    </row>
    <row r="179">
      <c r="A179" s="26" t="inlineStr">
        <is>
          <t>2026-08-17</t>
        </is>
      </c>
      <c r="B179" s="27" t="n">
        <v>1275</v>
      </c>
      <c r="C179" s="27" t="n">
        <v>0</v>
      </c>
      <c r="D179" s="28">
        <f>D178+B179</f>
        <v/>
      </c>
      <c r="E179" s="28">
        <f>E178+C179</f>
        <v/>
      </c>
      <c r="F179" s="28">
        <f>D179/160+E179</f>
        <v/>
      </c>
      <c r="G179" s="28">
        <f>MAX((80-F179)*160,0)</f>
        <v/>
      </c>
      <c r="H179" s="28">
        <f>IF(21&gt;=21,SUMPRODUCT(B159:B179+C159:C179*160)/21,0)</f>
        <v/>
      </c>
      <c r="I179" s="28">
        <f>IF(H179&gt;0,G179/H179,0)</f>
        <v/>
      </c>
    </row>
    <row r="180">
      <c r="A180" s="29" t="inlineStr">
        <is>
          <t>2026-08-18</t>
        </is>
      </c>
      <c r="B180" s="30" t="n">
        <v>150</v>
      </c>
      <c r="C180" s="30" t="n">
        <v>0</v>
      </c>
      <c r="D180" s="31">
        <f>D179+B180</f>
        <v/>
      </c>
      <c r="E180" s="31">
        <f>E179+C180</f>
        <v/>
      </c>
      <c r="F180" s="31">
        <f>D180/160+E180</f>
        <v/>
      </c>
      <c r="G180" s="31">
        <f>MAX((80-F180)*160,0)</f>
        <v/>
      </c>
      <c r="H180" s="31">
        <f>IF(21&gt;=21,SUMPRODUCT(B160:B180+C160:C180*160)/21,0)</f>
        <v/>
      </c>
      <c r="I180" s="31">
        <f>IF(H180&gt;0,G180/H180,0)</f>
        <v/>
      </c>
    </row>
    <row r="181">
      <c r="A181" s="26" t="inlineStr">
        <is>
          <t>2026-08-19</t>
        </is>
      </c>
      <c r="B181" s="27" t="n">
        <v>0</v>
      </c>
      <c r="C181" s="27" t="n">
        <v>0</v>
      </c>
      <c r="D181" s="28">
        <f>D180+B181</f>
        <v/>
      </c>
      <c r="E181" s="28">
        <f>E180+C181</f>
        <v/>
      </c>
      <c r="F181" s="28">
        <f>D181/160+E181</f>
        <v/>
      </c>
      <c r="G181" s="28">
        <f>MAX((80-F181)*160,0)</f>
        <v/>
      </c>
      <c r="H181" s="28">
        <f>IF(21&gt;=21,SUMPRODUCT(B161:B181+C161:C181*160)/21,0)</f>
        <v/>
      </c>
      <c r="I181" s="28">
        <f>IF(H181&gt;0,G181/H181,0)</f>
        <v/>
      </c>
    </row>
    <row r="182">
      <c r="A182" s="29" t="inlineStr">
        <is>
          <t>2026-08-20</t>
        </is>
      </c>
      <c r="B182" s="30" t="n">
        <v>150</v>
      </c>
      <c r="C182" s="30" t="n">
        <v>0</v>
      </c>
      <c r="D182" s="31">
        <f>D181+B182</f>
        <v/>
      </c>
      <c r="E182" s="31">
        <f>E181+C182</f>
        <v/>
      </c>
      <c r="F182" s="31">
        <f>D182/160+E182</f>
        <v/>
      </c>
      <c r="G182" s="31">
        <f>MAX((80-F182)*160,0)</f>
        <v/>
      </c>
      <c r="H182" s="31">
        <f>IF(21&gt;=21,SUMPRODUCT(B162:B182+C162:C182*160)/21,0)</f>
        <v/>
      </c>
      <c r="I182" s="31">
        <f>IF(H182&gt;0,G182/H182,0)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2026-08-20T17:53:09Z</dcterms:modified>
  <cp:lastModifiedBy>Rianna Santra</cp:lastModifiedBy>
</cp:coreProperties>
</file>