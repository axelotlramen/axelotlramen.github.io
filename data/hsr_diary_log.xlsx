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160" yWindow="5940" windowWidth="24220" windowHeight="1032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FF000000"/>
      <sz val="11"/>
    </font>
    <font>
      <name val="Arial"/>
      <color rgb="FF0000FF"/>
      <sz val="11"/>
    </font>
    <font>
      <name val="Arial"/>
      <color rgb="00000000"/>
    </font>
    <font>
      <name val="Arial"/>
      <color rgb="000000FF"/>
    </font>
  </fonts>
  <fills count="8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5" fillId="0" borderId="2" pivotButton="0" quotePrefix="0" xfId="0"/>
    <xf numFmtId="2" fontId="4" fillId="0" borderId="2" pivotButton="0" quotePrefix="0" xfId="0"/>
    <xf numFmtId="14" fontId="0" fillId="0" borderId="2" pivotButton="0" quotePrefix="0" xfId="0"/>
    <xf numFmtId="0" fontId="0" fillId="0" borderId="3" pivotButton="0" quotePrefix="0" xfId="0"/>
    <xf numFmtId="0" fontId="7" fillId="0" borderId="3" pivotButton="0" quotePrefix="0" xfId="0"/>
    <xf numFmtId="2" fontId="6" fillId="0" borderId="3" pivotButton="0" quotePrefix="0" xfId="0"/>
    <xf numFmtId="0" fontId="0" fillId="4" borderId="3" pivotButton="0" quotePrefix="0" xfId="0"/>
    <xf numFmtId="0" fontId="7" fillId="4" borderId="3" pivotButton="0" quotePrefix="0" xfId="0"/>
    <xf numFmtId="2" fontId="6" fillId="4" borderId="3" pivotButton="0" quotePrefix="0" xfId="0"/>
    <xf numFmtId="0" fontId="0" fillId="0" borderId="4" pivotButton="0" quotePrefix="0" xfId="0"/>
    <xf numFmtId="0" fontId="9" fillId="0" borderId="4" pivotButton="0" quotePrefix="0" xfId="0"/>
    <xf numFmtId="2" fontId="8" fillId="0" borderId="4" pivotButton="0" quotePrefix="0" xfId="0"/>
    <xf numFmtId="0" fontId="0" fillId="5" borderId="4" pivotButton="0" quotePrefix="0" xfId="0"/>
    <xf numFmtId="0" fontId="9" fillId="5" borderId="4" pivotButton="0" quotePrefix="0" xfId="0"/>
    <xf numFmtId="2" fontId="8" fillId="5" borderId="4" pivotButton="0" quotePrefix="0" xfId="0"/>
    <xf numFmtId="0" fontId="0" fillId="0" borderId="5" pivotButton="0" quotePrefix="0" xfId="0"/>
    <xf numFmtId="0" fontId="11" fillId="0" borderId="5" pivotButton="0" quotePrefix="0" xfId="0"/>
    <xf numFmtId="2" fontId="10" fillId="0" borderId="5" pivotButton="0" quotePrefix="0" xfId="0"/>
    <xf numFmtId="0" fontId="0" fillId="6" borderId="5" pivotButton="0" quotePrefix="0" xfId="0"/>
    <xf numFmtId="0" fontId="11" fillId="6" borderId="5" pivotButton="0" quotePrefix="0" xfId="0"/>
    <xf numFmtId="2" fontId="10" fillId="6" borderId="5" pivotButton="0" quotePrefix="0" xfId="0"/>
    <xf numFmtId="0" fontId="0" fillId="0" borderId="6" pivotButton="0" quotePrefix="0" xfId="0"/>
    <xf numFmtId="0" fontId="13" fillId="0" borderId="6" pivotButton="0" quotePrefix="0" xfId="0"/>
    <xf numFmtId="2" fontId="12" fillId="0" borderId="6" pivotButton="0" quotePrefix="0" xfId="0"/>
    <xf numFmtId="0" fontId="0" fillId="7" borderId="6" pivotButton="0" quotePrefix="0" xfId="0"/>
    <xf numFmtId="0" fontId="13" fillId="7" borderId="6" pivotButton="0" quotePrefix="0" xfId="0"/>
    <xf numFmtId="2" fontId="12" fillId="7" borderId="6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"/>
  <sheetViews>
    <sheetView tabSelected="1" workbookViewId="0">
      <pane ySplit="1" topLeftCell="A41" activePane="bottomLeft" state="frozen"/>
      <selection pane="bottomLeft" activeCell="E57" sqref="E57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Stellar Jades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46074</v>
      </c>
      <c r="B2" s="2" t="n">
        <v>150</v>
      </c>
      <c r="C2" s="2" t="n">
        <v>0</v>
      </c>
      <c r="D2" s="3" t="n">
        <v>271</v>
      </c>
      <c r="E2" s="3" t="n">
        <v>210</v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7" t="n">
        <v>46075</v>
      </c>
      <c r="B3" s="5" t="n">
        <v>150</v>
      </c>
      <c r="C3" s="5" t="n">
        <v>0</v>
      </c>
      <c r="D3" s="6">
        <f>D2+B3</f>
        <v/>
      </c>
      <c r="E3" s="6">
        <f>E2+C3</f>
        <v/>
      </c>
      <c r="F3" s="6">
        <f>D3/160+E3</f>
        <v/>
      </c>
      <c r="G3" s="6">
        <f>MAX((80-F3)*160,0)</f>
        <v/>
      </c>
      <c r="H3" s="6">
        <f t="array" ref="H3">IF(2&gt;=21,SUMPRODUCT(B2:B3+C2:C3*160)/21,0)</f>
        <v/>
      </c>
      <c r="I3" s="6">
        <f>IF(H3&gt;0,G3/H3,0)</f>
        <v/>
      </c>
    </row>
    <row r="4">
      <c r="A4" s="4" t="n">
        <v>46076</v>
      </c>
      <c r="B4" s="2" t="n">
        <v>150</v>
      </c>
      <c r="C4" s="2" t="n">
        <v>0</v>
      </c>
      <c r="D4" s="3">
        <f>D3+B4</f>
        <v/>
      </c>
      <c r="E4" s="3">
        <f>E3+C4</f>
        <v/>
      </c>
      <c r="F4" s="3">
        <f>D4/160+E4</f>
        <v/>
      </c>
      <c r="G4" s="3">
        <f>MAX((80-F4)*160,0)</f>
        <v/>
      </c>
      <c r="H4" s="3">
        <f t="array" ref="H4">IF(3&gt;=21,SUMPRODUCT(B2:B4+C2:C4*160)/21,0)</f>
        <v/>
      </c>
      <c r="I4" s="3">
        <f>IF(H4&gt;0,G4/H4,0)</f>
        <v/>
      </c>
    </row>
    <row r="5">
      <c r="A5" s="7" t="n">
        <v>46077</v>
      </c>
      <c r="B5" s="5" t="n">
        <v>150</v>
      </c>
      <c r="C5" s="5" t="n">
        <v>0</v>
      </c>
      <c r="D5" s="6">
        <f>D4+B5</f>
        <v/>
      </c>
      <c r="E5" s="6">
        <f>E4+C5</f>
        <v/>
      </c>
      <c r="F5" s="6">
        <f>D5/160+E5</f>
        <v/>
      </c>
      <c r="G5" s="6">
        <f>MAX((80-F5)*160,0)</f>
        <v/>
      </c>
      <c r="H5" s="6">
        <f t="array" ref="H5">IF(4&gt;=21,SUMPRODUCT(B2:B5+C2:C5*160)/21,0)</f>
        <v/>
      </c>
      <c r="I5" s="6">
        <f>IF(H5&gt;0,G5/H5,0)</f>
        <v/>
      </c>
    </row>
    <row r="6">
      <c r="A6" s="4" t="n">
        <v>46078</v>
      </c>
      <c r="B6" s="2" t="n">
        <v>150</v>
      </c>
      <c r="C6" s="2" t="n">
        <v>0</v>
      </c>
      <c r="D6" s="3">
        <f>D5+B6</f>
        <v/>
      </c>
      <c r="E6" s="3">
        <f>E5+C6</f>
        <v/>
      </c>
      <c r="F6" s="3">
        <f>D6/160+E6</f>
        <v/>
      </c>
      <c r="G6" s="3">
        <f>MAX((80-F6)*160,0)</f>
        <v/>
      </c>
      <c r="H6" s="3">
        <f t="array" ref="H6">IF(5&gt;=21,SUMPRODUCT(B2:B6+C2:C6*160)/21,0)</f>
        <v/>
      </c>
      <c r="I6" s="3">
        <f>IF(H6&gt;0,G6/H6,0)</f>
        <v/>
      </c>
    </row>
    <row r="7">
      <c r="A7" s="7" t="n">
        <v>46079</v>
      </c>
      <c r="B7" s="5" t="n">
        <v>150</v>
      </c>
      <c r="C7" s="5" t="n">
        <v>0</v>
      </c>
      <c r="D7" s="6">
        <f>D6+B7</f>
        <v/>
      </c>
      <c r="E7" s="6">
        <f>E6+C7</f>
        <v/>
      </c>
      <c r="F7" s="6">
        <f>D7/160+E7</f>
        <v/>
      </c>
      <c r="G7" s="6">
        <f>MAX((80-F7)*160,0)</f>
        <v/>
      </c>
      <c r="H7" s="6">
        <f t="array" ref="H7">IF(6&gt;=21,SUMPRODUCT(B2:B7+C2:C7*160)/21,0)</f>
        <v/>
      </c>
      <c r="I7" s="6">
        <f>IF(H7&gt;0,G7/H7,0)</f>
        <v/>
      </c>
    </row>
    <row r="8">
      <c r="A8" s="4" t="n">
        <v>46080</v>
      </c>
      <c r="B8" s="2" t="n">
        <v>150</v>
      </c>
      <c r="C8" s="2" t="n">
        <v>2</v>
      </c>
      <c r="D8" s="3">
        <f>D7+B8</f>
        <v/>
      </c>
      <c r="E8" s="3">
        <f>E7+C8</f>
        <v/>
      </c>
      <c r="F8" s="3">
        <f>D8/160+E8</f>
        <v/>
      </c>
      <c r="G8" s="3">
        <f>MAX((80-F8)*160,0)</f>
        <v/>
      </c>
      <c r="H8" s="3">
        <f t="array" ref="H8">IF(7&gt;=21,SUMPRODUCT(B2:B8+C2:C8*160)/21,0)</f>
        <v/>
      </c>
      <c r="I8" s="3">
        <f>IF(H8&gt;0,G8/H8,0)</f>
        <v/>
      </c>
    </row>
    <row r="9">
      <c r="A9" s="7" t="n">
        <v>46081</v>
      </c>
      <c r="B9" s="5" t="n">
        <v>150</v>
      </c>
      <c r="C9" s="5" t="n">
        <v>0</v>
      </c>
      <c r="D9" s="6">
        <f>D8+B9</f>
        <v/>
      </c>
      <c r="E9" s="6">
        <f>E8+C9</f>
        <v/>
      </c>
      <c r="F9" s="6">
        <f>D9/160+E9</f>
        <v/>
      </c>
      <c r="G9" s="6">
        <f>MAX((80-F9)*160,0)</f>
        <v/>
      </c>
      <c r="H9" s="6">
        <f t="array" ref="H9">IF(8&gt;=21,SUMPRODUCT(B2:B9+C2:C9*160)/21,0)</f>
        <v/>
      </c>
      <c r="I9" s="6">
        <f>IF(H9&gt;0,G9/H9,0)</f>
        <v/>
      </c>
    </row>
    <row r="10">
      <c r="A10" s="4" t="n">
        <v>46082</v>
      </c>
      <c r="B10" s="2" t="n">
        <v>150</v>
      </c>
      <c r="C10" s="2" t="n">
        <v>10</v>
      </c>
      <c r="D10" s="3">
        <f>D9+B10</f>
        <v/>
      </c>
      <c r="E10" s="3">
        <f>E9+C10</f>
        <v/>
      </c>
      <c r="F10" s="3">
        <f>D10/160+E10</f>
        <v/>
      </c>
      <c r="G10" s="3">
        <f>MAX((80-F10)*160,0)</f>
        <v/>
      </c>
      <c r="H10" s="3">
        <f t="array" ref="H10">IF(9&gt;=21,SUMPRODUCT(B2:B10+C2:C10*160)/21,0)</f>
        <v/>
      </c>
      <c r="I10" s="3">
        <f>IF(H10&gt;0,G10/H10,0)</f>
        <v/>
      </c>
    </row>
    <row r="11">
      <c r="A11" s="7" t="n">
        <v>46083</v>
      </c>
      <c r="B11" s="5" t="n">
        <v>950</v>
      </c>
      <c r="C11" s="5" t="n">
        <v>0</v>
      </c>
      <c r="D11" s="6">
        <f>D10+B11</f>
        <v/>
      </c>
      <c r="E11" s="6">
        <f>E10+C11</f>
        <v/>
      </c>
      <c r="F11" s="6">
        <f>D11/160+E11</f>
        <v/>
      </c>
      <c r="G11" s="6">
        <f>MAX((80-F11)*160,0)</f>
        <v/>
      </c>
      <c r="H11" s="6">
        <f t="array" ref="H11">IF(10&gt;=21,SUMPRODUCT(B2:B11+C2:C11*160)/21,0)</f>
        <v/>
      </c>
      <c r="I11" s="6">
        <f>IF(H11&gt;0,G11/H11,0)</f>
        <v/>
      </c>
    </row>
    <row r="12">
      <c r="A12" s="4" t="n">
        <v>46084</v>
      </c>
      <c r="B12" s="2" t="n">
        <v>200</v>
      </c>
      <c r="C12" s="2" t="n">
        <v>0</v>
      </c>
      <c r="D12" s="3">
        <f>D11+B12</f>
        <v/>
      </c>
      <c r="E12" s="3">
        <f>E11+C12</f>
        <v/>
      </c>
      <c r="F12" s="3">
        <f>D12/160+E12</f>
        <v/>
      </c>
      <c r="G12" s="3">
        <f>MAX((80-F12)*160,0)</f>
        <v/>
      </c>
      <c r="H12" s="3">
        <f t="array" ref="H12">IF(11&gt;=21,SUMPRODUCT(B2:B12+C2:C12*160)/21,0)</f>
        <v/>
      </c>
      <c r="I12" s="3">
        <f>IF(H12&gt;0,G12/H12,0)</f>
        <v/>
      </c>
    </row>
    <row r="13">
      <c r="A13" s="7" t="n">
        <v>46085</v>
      </c>
      <c r="B13" s="5" t="n">
        <v>230</v>
      </c>
      <c r="C13" s="5" t="n">
        <v>0</v>
      </c>
      <c r="D13" s="6">
        <f>D12+B13</f>
        <v/>
      </c>
      <c r="E13" s="6">
        <f>E12+C13</f>
        <v/>
      </c>
      <c r="F13" s="6">
        <f>D13/160+E13</f>
        <v/>
      </c>
      <c r="G13" s="6">
        <f>MAX((80-F13)*160,0)</f>
        <v/>
      </c>
      <c r="H13" s="6">
        <f t="array" ref="H13">IF(12&gt;=21,SUMPRODUCT(B2:B13+C2:C13*160)/21,0)</f>
        <v/>
      </c>
      <c r="I13" s="6">
        <f>IF(H13&gt;0,G13/H13,0)</f>
        <v/>
      </c>
    </row>
    <row r="14">
      <c r="A14" s="4" t="n">
        <v>46086</v>
      </c>
      <c r="B14" s="2" t="n">
        <v>170</v>
      </c>
      <c r="C14" s="2" t="n">
        <v>0</v>
      </c>
      <c r="D14" s="3">
        <f>D13+B14</f>
        <v/>
      </c>
      <c r="E14" s="3">
        <f>E13+C14</f>
        <v/>
      </c>
      <c r="F14" s="3">
        <f>D14/160+E14</f>
        <v/>
      </c>
      <c r="G14" s="3">
        <f>MAX((80-F14)*160,0)</f>
        <v/>
      </c>
      <c r="H14" s="3">
        <f t="array" ref="H14">IF(13&gt;=21,SUMPRODUCT(B2:B14+C2:C14*160)/21,0)</f>
        <v/>
      </c>
      <c r="I14" s="3">
        <f>IF(H14&gt;0,G14/H14,0)</f>
        <v/>
      </c>
    </row>
    <row r="15">
      <c r="A15" s="7" t="n">
        <v>46087</v>
      </c>
      <c r="B15" s="5" t="n">
        <v>150</v>
      </c>
      <c r="C15" s="5" t="n">
        <v>0</v>
      </c>
      <c r="D15" s="6">
        <f>D14+B15</f>
        <v/>
      </c>
      <c r="E15" s="6">
        <f>E14+C15</f>
        <v/>
      </c>
      <c r="F15" s="6">
        <f>D15/160+E15</f>
        <v/>
      </c>
      <c r="G15" s="6">
        <f>MAX((80-F15)*160,0)</f>
        <v/>
      </c>
      <c r="H15" s="6">
        <f t="array" ref="H15">IF(14&gt;=21,SUMPRODUCT(B2:B15+C2:C15*160)/21,0)</f>
        <v/>
      </c>
      <c r="I15" s="6">
        <f>IF(H15&gt;0,G15/H15,0)</f>
        <v/>
      </c>
    </row>
    <row r="16">
      <c r="A16" s="4" t="n">
        <v>46088</v>
      </c>
      <c r="B16" s="2" t="n">
        <v>150</v>
      </c>
      <c r="C16" s="2" t="n">
        <v>0</v>
      </c>
      <c r="D16" s="3">
        <f>D15+B16</f>
        <v/>
      </c>
      <c r="E16" s="3">
        <f>E15+C16</f>
        <v/>
      </c>
      <c r="F16" s="3">
        <f>D16/160+E16</f>
        <v/>
      </c>
      <c r="G16" s="3">
        <f>MAX((80-F16)*160,0)</f>
        <v/>
      </c>
      <c r="H16" s="3">
        <f t="array" ref="H16">IF(15&gt;=21,SUMPRODUCT(B2:B16+C2:C16*160)/21,0)</f>
        <v/>
      </c>
      <c r="I16" s="3">
        <f>IF(H16&gt;0,G16/H16,0)</f>
        <v/>
      </c>
    </row>
    <row r="17">
      <c r="A17" s="7" t="n">
        <v>46089</v>
      </c>
      <c r="B17" s="5" t="n">
        <v>495</v>
      </c>
      <c r="C17" s="5" t="n">
        <v>0</v>
      </c>
      <c r="D17" s="6">
        <f>D16+B17</f>
        <v/>
      </c>
      <c r="E17" s="6">
        <f>E16+C17</f>
        <v/>
      </c>
      <c r="F17" s="6">
        <f>D17/160+E17</f>
        <v/>
      </c>
      <c r="G17" s="6">
        <f>MAX((80-F17)*160,0)</f>
        <v/>
      </c>
      <c r="H17" s="6">
        <f t="array" ref="H17">IF(16&gt;=21,SUMPRODUCT(B2:B17+C2:C17*160)/21,0)</f>
        <v/>
      </c>
      <c r="I17" s="6">
        <f>IF(H17&gt;0,G17/H17,0)</f>
        <v/>
      </c>
    </row>
    <row r="18">
      <c r="A18" s="4" t="n">
        <v>46090</v>
      </c>
      <c r="B18" s="2" t="n">
        <v>375</v>
      </c>
      <c r="C18" s="2" t="n">
        <v>0</v>
      </c>
      <c r="D18" s="3">
        <f>D17+B18</f>
        <v/>
      </c>
      <c r="E18" s="3">
        <f>E17+C18</f>
        <v/>
      </c>
      <c r="F18" s="3">
        <f>D18/160+E18</f>
        <v/>
      </c>
      <c r="G18" s="3">
        <f>MAX((80-F18)*160,0)</f>
        <v/>
      </c>
      <c r="H18" s="3">
        <f t="array" ref="H18">IF(17&gt;=21,SUMPRODUCT(B2:B18+C2:C18*160)/21,0)</f>
        <v/>
      </c>
      <c r="I18" s="3">
        <f>IF(H18&gt;0,G18/H18,0)</f>
        <v/>
      </c>
    </row>
    <row r="19">
      <c r="A19" s="7" t="n">
        <v>46091</v>
      </c>
      <c r="B19" s="5" t="n">
        <v>170</v>
      </c>
      <c r="C19" s="5" t="n">
        <v>0</v>
      </c>
      <c r="D19" s="6">
        <f>D18+B19</f>
        <v/>
      </c>
      <c r="E19" s="6">
        <f>E18+C19</f>
        <v/>
      </c>
      <c r="F19" s="6">
        <f>D19/160+E19</f>
        <v/>
      </c>
      <c r="G19" s="6">
        <f>MAX((80-F19)*160,0)</f>
        <v/>
      </c>
      <c r="H19" s="6">
        <f t="array" ref="H19">IF(18&gt;=21,SUMPRODUCT(B2:B19+C2:C19*160)/21,0)</f>
        <v/>
      </c>
      <c r="I19" s="6">
        <f>IF(H19&gt;0,G19/H19,0)</f>
        <v/>
      </c>
    </row>
    <row r="20">
      <c r="A20" s="4" t="n">
        <v>46092</v>
      </c>
      <c r="B20" s="2" t="n">
        <v>150</v>
      </c>
      <c r="C20" s="2" t="n">
        <v>0</v>
      </c>
      <c r="D20" s="3">
        <f>D19+B20</f>
        <v/>
      </c>
      <c r="E20" s="3">
        <f>E19+C20</f>
        <v/>
      </c>
      <c r="F20" s="3">
        <f>D20/160+E20</f>
        <v/>
      </c>
      <c r="G20" s="3">
        <f>MAX((80-F20)*160,0)</f>
        <v/>
      </c>
      <c r="H20" s="3">
        <f t="array" ref="H20">IF(19&gt;=21,SUMPRODUCT(B2:B20+C2:C20*160)/21,0)</f>
        <v/>
      </c>
      <c r="I20" s="3">
        <f>IF(H20&gt;0,G20/H20,0)</f>
        <v/>
      </c>
    </row>
    <row r="21">
      <c r="A21" s="7" t="n">
        <v>46093</v>
      </c>
      <c r="B21" s="5" t="n">
        <v>150</v>
      </c>
      <c r="C21" s="5" t="n">
        <v>0</v>
      </c>
      <c r="D21" s="6">
        <f>D20+B21</f>
        <v/>
      </c>
      <c r="E21" s="6">
        <f>E20+C21</f>
        <v/>
      </c>
      <c r="F21" s="6">
        <f>D21/160+E21</f>
        <v/>
      </c>
      <c r="G21" s="6">
        <f>MAX((80-F21)*160,0)</f>
        <v/>
      </c>
      <c r="H21" s="6">
        <f t="array" ref="H21">IF(20&gt;=21,SUMPRODUCT(B2:B21+C2:C21*160)/21,0)</f>
        <v/>
      </c>
      <c r="I21" s="6">
        <f>IF(H21&gt;0,G21/H21,0)</f>
        <v/>
      </c>
    </row>
    <row r="22">
      <c r="A22" s="4" t="n">
        <v>46094</v>
      </c>
      <c r="B22" s="2" t="n">
        <v>470</v>
      </c>
      <c r="C22" s="2" t="n">
        <v>0</v>
      </c>
      <c r="D22" s="3">
        <f>D21+B22</f>
        <v/>
      </c>
      <c r="E22" s="3">
        <f>E21+C22</f>
        <v/>
      </c>
      <c r="F22" s="3">
        <f>D22/160+E22</f>
        <v/>
      </c>
      <c r="G22" s="3">
        <f>MAX((80-F22)*160,0)</f>
        <v/>
      </c>
      <c r="H22" s="3">
        <f t="array" ref="H22">IF(21&gt;=21,SUMPRODUCT(B2:B22+C2:C22*160)/21,0)</f>
        <v/>
      </c>
      <c r="I22" s="3">
        <f>IF(H22&gt;0,G22/H22,0)</f>
        <v/>
      </c>
    </row>
    <row r="23">
      <c r="A23" s="7" t="n">
        <v>46095</v>
      </c>
      <c r="B23" s="5" t="n">
        <v>160</v>
      </c>
      <c r="C23" s="5" t="n">
        <v>0</v>
      </c>
      <c r="D23" s="6" t="n">
        <v>56</v>
      </c>
      <c r="E23" s="6" t="n">
        <v>200</v>
      </c>
      <c r="F23" s="6">
        <f>D23/160+E23</f>
        <v/>
      </c>
      <c r="G23" s="6">
        <f>MAX((80-F23)*160,0)</f>
        <v/>
      </c>
      <c r="H23" s="6">
        <f t="array" ref="H23">IF(22&gt;=21,SUMPRODUCT(B3:B23+C3:C23*160)/21,0)</f>
        <v/>
      </c>
      <c r="I23" s="6">
        <f>IF(H23&gt;0,G23/H23,0)</f>
        <v/>
      </c>
    </row>
    <row r="24">
      <c r="A24" s="4" t="n">
        <v>46096</v>
      </c>
      <c r="B24" s="2" t="n">
        <v>155</v>
      </c>
      <c r="C24" s="2" t="n">
        <v>0</v>
      </c>
      <c r="D24" s="3">
        <f>D23+B24</f>
        <v/>
      </c>
      <c r="E24" s="3">
        <f>E23+C24</f>
        <v/>
      </c>
      <c r="F24" s="3">
        <f>D24/160+E24</f>
        <v/>
      </c>
      <c r="G24" s="3">
        <f>MAX((80-F24)*160,0)</f>
        <v/>
      </c>
      <c r="H24" s="3">
        <f t="array" ref="H24">IF(23&gt;=21,SUMPRODUCT(B4:B24+C4:C24*160)/21,0)</f>
        <v/>
      </c>
      <c r="I24" s="3">
        <f>IF(H24&gt;0,G24/H24,0)</f>
        <v/>
      </c>
    </row>
    <row r="25">
      <c r="A25" s="7" t="n">
        <v>46097</v>
      </c>
      <c r="B25" s="5" t="n">
        <v>1320</v>
      </c>
      <c r="C25" s="5" t="n">
        <v>0</v>
      </c>
      <c r="D25" s="6">
        <f>D24+B25</f>
        <v/>
      </c>
      <c r="E25" s="6">
        <f>E24+C25</f>
        <v/>
      </c>
      <c r="F25" s="6">
        <f>D25/160+E25</f>
        <v/>
      </c>
      <c r="G25" s="6">
        <f>MAX((80-F25)*160,0)</f>
        <v/>
      </c>
      <c r="H25" s="6">
        <f t="array" ref="H25">IF(24&gt;=21,SUMPRODUCT(B5:B25+C5:C25*160)/21,0)</f>
        <v/>
      </c>
      <c r="I25" s="6">
        <f>IF(H25&gt;0,G25/H25,0)</f>
        <v/>
      </c>
    </row>
    <row r="26">
      <c r="A26" s="4" t="n">
        <v>46098</v>
      </c>
      <c r="B26" s="2" t="n">
        <v>215</v>
      </c>
      <c r="C26" s="2" t="n">
        <v>0</v>
      </c>
      <c r="D26" s="3">
        <f>D25+B26</f>
        <v/>
      </c>
      <c r="E26" s="3">
        <f>E25+C26</f>
        <v/>
      </c>
      <c r="F26" s="3">
        <f>D26/160+E26</f>
        <v/>
      </c>
      <c r="G26" s="3">
        <f>MAX((80-F26)*160,0)</f>
        <v/>
      </c>
      <c r="H26" s="3">
        <f t="array" ref="H26">IF(25&gt;=21,SUMPRODUCT(B6:B26+C6:C26*160)/21,0)</f>
        <v/>
      </c>
      <c r="I26" s="3">
        <f>IF(H26&gt;0,G26/H26,0)</f>
        <v/>
      </c>
    </row>
    <row r="27">
      <c r="A27" s="7" t="n">
        <v>46099</v>
      </c>
      <c r="B27" s="5" t="n">
        <v>150</v>
      </c>
      <c r="C27" s="5" t="n">
        <v>0</v>
      </c>
      <c r="D27" s="6">
        <f>D26+B27</f>
        <v/>
      </c>
      <c r="E27" s="6">
        <f>E26+C27</f>
        <v/>
      </c>
      <c r="F27" s="6">
        <f>D27/160+E27</f>
        <v/>
      </c>
      <c r="G27" s="6">
        <f>MAX((80-F27)*160,0)</f>
        <v/>
      </c>
      <c r="H27" s="6">
        <f t="array" ref="H27">IF(26&gt;=21,SUMPRODUCT(B7:B27+C7:C27*160)/21,0)</f>
        <v/>
      </c>
      <c r="I27" s="6">
        <f>IF(H27&gt;0,G27/H27,0)</f>
        <v/>
      </c>
    </row>
    <row r="28">
      <c r="A28" s="4" t="n">
        <v>46100</v>
      </c>
      <c r="B28" s="2" t="n">
        <v>170</v>
      </c>
      <c r="C28" s="2" t="n">
        <v>0</v>
      </c>
      <c r="D28" s="3">
        <f>D27+B28</f>
        <v/>
      </c>
      <c r="E28" s="3">
        <f>E27+C28</f>
        <v/>
      </c>
      <c r="F28" s="3">
        <f>D28/160+E28</f>
        <v/>
      </c>
      <c r="G28" s="3">
        <f>MAX((80-F28)*160,0)</f>
        <v/>
      </c>
      <c r="H28" s="3">
        <f t="array" ref="H28">IF(27&gt;=21,SUMPRODUCT(B8:B28+C8:C28*160)/21,0)</f>
        <v/>
      </c>
      <c r="I28" s="3">
        <f>IF(H28&gt;0,G28/H28,0)</f>
        <v/>
      </c>
    </row>
    <row r="29">
      <c r="A29" s="7" t="n">
        <v>46101</v>
      </c>
      <c r="B29" s="5" t="n">
        <v>150</v>
      </c>
      <c r="C29" s="5" t="n">
        <v>0</v>
      </c>
      <c r="D29" s="6">
        <f>D28+B29</f>
        <v/>
      </c>
      <c r="E29" s="6">
        <f>E28+C29</f>
        <v/>
      </c>
      <c r="F29" s="6">
        <f>D29/160+E29</f>
        <v/>
      </c>
      <c r="G29" s="6">
        <f>MAX((80-F29)*160,0)</f>
        <v/>
      </c>
      <c r="H29" s="6">
        <f t="array" ref="H29">IF(28&gt;=21,SUMPRODUCT(B9:B29+C9:C29*160)/21,0)</f>
        <v/>
      </c>
      <c r="I29" s="6">
        <f>IF(H29&gt;0,G29/H29,0)</f>
        <v/>
      </c>
    </row>
    <row r="30">
      <c r="A30" s="4" t="n">
        <v>46102</v>
      </c>
      <c r="B30" s="2" t="n">
        <v>150</v>
      </c>
      <c r="C30" s="2" t="n">
        <v>0</v>
      </c>
      <c r="D30" s="3">
        <f>D29+B30</f>
        <v/>
      </c>
      <c r="E30" s="3">
        <f>E29+C30</f>
        <v/>
      </c>
      <c r="F30" s="3">
        <f>D30/160+E30</f>
        <v/>
      </c>
      <c r="G30" s="3">
        <f>MAX((80-F30)*160,0)</f>
        <v/>
      </c>
      <c r="H30" s="3">
        <f t="array" ref="H30">IF(29&gt;=21,SUMPRODUCT(B10:B30+C10:C30*160)/21,0)</f>
        <v/>
      </c>
      <c r="I30" s="3">
        <f>IF(H30&gt;0,G30/H30,0)</f>
        <v/>
      </c>
    </row>
    <row r="31">
      <c r="A31" s="8" t="inlineStr">
        <is>
          <t>2026-03-22</t>
        </is>
      </c>
      <c r="B31" s="9" t="n">
        <v>150</v>
      </c>
      <c r="C31" s="9" t="n">
        <v>0</v>
      </c>
      <c r="D31" s="10">
        <f>D30+B31</f>
        <v/>
      </c>
      <c r="E31" s="10">
        <f>E30+C31</f>
        <v/>
      </c>
      <c r="F31" s="10">
        <f>D31/160+E31</f>
        <v/>
      </c>
      <c r="G31" s="10">
        <f>MAX((80-F31)*160,0)</f>
        <v/>
      </c>
      <c r="H31" s="10">
        <f>IF(21&gt;=21,SUMPRODUCT(B11:B31+C11:C31*160)/21,0)</f>
        <v/>
      </c>
      <c r="I31" s="10">
        <f>IF(H31&gt;0,G31/H31,0)</f>
        <v/>
      </c>
    </row>
    <row r="32">
      <c r="A32" s="11" t="inlineStr">
        <is>
          <t>2026-03-23</t>
        </is>
      </c>
      <c r="B32" s="12" t="n">
        <v>375</v>
      </c>
      <c r="C32" s="12" t="n">
        <v>0</v>
      </c>
      <c r="D32" s="13">
        <f>D31+B32</f>
        <v/>
      </c>
      <c r="E32" s="13">
        <f>E31+C32</f>
        <v/>
      </c>
      <c r="F32" s="13">
        <f>D32/160+E32</f>
        <v/>
      </c>
      <c r="G32" s="13">
        <f>MAX((80-F32)*160,0)</f>
        <v/>
      </c>
      <c r="H32" s="13">
        <f>IF(21&gt;=21,SUMPRODUCT(B12:B32+C12:C32*160)/21,0)</f>
        <v/>
      </c>
      <c r="I32" s="13">
        <f>IF(H32&gt;0,G32/H32,0)</f>
        <v/>
      </c>
    </row>
    <row r="33">
      <c r="A33" s="14" t="inlineStr">
        <is>
          <t>2026-03-24</t>
        </is>
      </c>
      <c r="B33" s="15" t="n">
        <v>150</v>
      </c>
      <c r="C33" s="15" t="n">
        <v>0</v>
      </c>
      <c r="D33" s="16">
        <f>D32+B33</f>
        <v/>
      </c>
      <c r="E33" s="16">
        <f>E32+C33</f>
        <v/>
      </c>
      <c r="F33" s="16">
        <f>D33/160+E33</f>
        <v/>
      </c>
      <c r="G33" s="16">
        <f>MAX((80-F33)*160,0)</f>
        <v/>
      </c>
      <c r="H33" s="16">
        <f>IF(21&gt;=21,SUMPRODUCT(B13:B33+C13:C33*160)/21,0)</f>
        <v/>
      </c>
      <c r="I33" s="16">
        <f>IF(H33&gt;0,G33/H33,0)</f>
        <v/>
      </c>
    </row>
    <row r="34">
      <c r="A34" s="17" t="inlineStr">
        <is>
          <t>2026-03-25</t>
        </is>
      </c>
      <c r="B34" s="18" t="n">
        <v>493</v>
      </c>
      <c r="C34" s="18" t="n">
        <v>0</v>
      </c>
      <c r="D34" s="19">
        <f>D33+B34</f>
        <v/>
      </c>
      <c r="E34" s="19">
        <f>E33+C34</f>
        <v/>
      </c>
      <c r="F34" s="19">
        <f>D34/160+E34</f>
        <v/>
      </c>
      <c r="G34" s="19">
        <f>MAX((80-F34)*160,0)</f>
        <v/>
      </c>
      <c r="H34" s="19">
        <f>IF(21&gt;=21,SUMPRODUCT(B14:B34+C14:C34*160)/21,0)</f>
        <v/>
      </c>
      <c r="I34" s="19">
        <f>IF(H34&gt;0,G34/H34,0)</f>
        <v/>
      </c>
    </row>
    <row r="35">
      <c r="A35" s="14" t="inlineStr">
        <is>
          <t>2026-03-26</t>
        </is>
      </c>
      <c r="B35" s="15" t="n">
        <v>593</v>
      </c>
      <c r="C35" s="15" t="n">
        <v>0</v>
      </c>
      <c r="D35" s="16">
        <f>D34+B35</f>
        <v/>
      </c>
      <c r="E35" s="16">
        <f>E34+C35</f>
        <v/>
      </c>
      <c r="F35" s="16">
        <f>D35/160+E35</f>
        <v/>
      </c>
      <c r="G35" s="16">
        <f>MAX((80-F35)*160,0)</f>
        <v/>
      </c>
      <c r="H35" s="16">
        <f>IF(21&gt;=21,SUMPRODUCT(B15:B35+C15:C35*160)/21,0)</f>
        <v/>
      </c>
      <c r="I35" s="16">
        <f>IF(H35&gt;0,G35/H35,0)</f>
        <v/>
      </c>
    </row>
    <row r="36">
      <c r="A36" s="17" t="inlineStr">
        <is>
          <t>2026-03-27</t>
        </is>
      </c>
      <c r="B36" s="18" t="n">
        <v>655</v>
      </c>
      <c r="C36" s="18" t="n">
        <v>0</v>
      </c>
      <c r="D36" s="19">
        <f>D35+B36</f>
        <v/>
      </c>
      <c r="E36" s="19">
        <f>E35+C36</f>
        <v/>
      </c>
      <c r="F36" s="19">
        <f>D36/160+E36</f>
        <v/>
      </c>
      <c r="G36" s="19">
        <f>MAX((80-F36)*160,0)</f>
        <v/>
      </c>
      <c r="H36" s="19">
        <f>IF(21&gt;=21,SUMPRODUCT(B16:B36+C16:C36*160)/21,0)</f>
        <v/>
      </c>
      <c r="I36" s="19">
        <f>IF(H36&gt;0,G36/H36,0)</f>
        <v/>
      </c>
    </row>
    <row r="37">
      <c r="A37" s="14" t="inlineStr">
        <is>
          <t>2026-03-28</t>
        </is>
      </c>
      <c r="B37" s="15" t="n">
        <v>170</v>
      </c>
      <c r="C37" s="15" t="n">
        <v>0</v>
      </c>
      <c r="D37" s="16">
        <f>D36+B37</f>
        <v/>
      </c>
      <c r="E37" s="16">
        <f>E36+C37</f>
        <v/>
      </c>
      <c r="F37" s="16">
        <f>D37/160+E37</f>
        <v/>
      </c>
      <c r="G37" s="16">
        <f>MAX((80-F37)*160,0)</f>
        <v/>
      </c>
      <c r="H37" s="16">
        <f>IF(21&gt;=21,SUMPRODUCT(B17:B37+C17:C37*160)/21,0)</f>
        <v/>
      </c>
      <c r="I37" s="16">
        <f>IF(H37&gt;0,G37/H37,0)</f>
        <v/>
      </c>
    </row>
    <row r="38">
      <c r="A38" s="17" t="inlineStr">
        <is>
          <t>2026-03-29</t>
        </is>
      </c>
      <c r="B38" s="18" t="n">
        <v>110</v>
      </c>
      <c r="C38" s="18" t="n">
        <v>0</v>
      </c>
      <c r="D38" s="19">
        <f>D37+B38</f>
        <v/>
      </c>
      <c r="E38" s="19">
        <f>E37+C38</f>
        <v/>
      </c>
      <c r="F38" s="19">
        <f>D38/160+E38</f>
        <v/>
      </c>
      <c r="G38" s="19">
        <f>MAX((80-F38)*160,0)</f>
        <v/>
      </c>
      <c r="H38" s="19">
        <f>IF(21&gt;=21,SUMPRODUCT(B18:B38+C18:C38*160)/21,0)</f>
        <v/>
      </c>
      <c r="I38" s="19">
        <f>IF(H38&gt;0,G38/H38,0)</f>
        <v/>
      </c>
    </row>
    <row r="39">
      <c r="A39" s="14" t="inlineStr">
        <is>
          <t>2026-03-30</t>
        </is>
      </c>
      <c r="B39" s="15" t="n">
        <v>960</v>
      </c>
      <c r="C39" s="15" t="n">
        <v>0</v>
      </c>
      <c r="D39" s="16">
        <f>D38+B39</f>
        <v/>
      </c>
      <c r="E39" s="16">
        <f>E38+C39</f>
        <v/>
      </c>
      <c r="F39" s="16">
        <f>D39/160+E39</f>
        <v/>
      </c>
      <c r="G39" s="16">
        <f>MAX((80-F39)*160,0)</f>
        <v/>
      </c>
      <c r="H39" s="16">
        <f>IF(21&gt;=21,SUMPRODUCT(B19:B39+C19:C39*160)/21,0)</f>
        <v/>
      </c>
      <c r="I39" s="16">
        <f>IF(H39&gt;0,G39/H39,0)</f>
        <v/>
      </c>
    </row>
    <row r="40">
      <c r="A40" s="17" t="inlineStr">
        <is>
          <t>2026-03-31</t>
        </is>
      </c>
      <c r="B40" s="18" t="n">
        <v>380</v>
      </c>
      <c r="C40" s="18" t="n">
        <v>0</v>
      </c>
      <c r="D40" s="19" t="n">
        <v>91</v>
      </c>
      <c r="E40" s="19" t="n">
        <v>30</v>
      </c>
      <c r="F40" s="19">
        <f>D40/160+E40</f>
        <v/>
      </c>
      <c r="G40" s="19">
        <f>MAX((80-F40)*160,0)</f>
        <v/>
      </c>
      <c r="H40" s="19">
        <f>IF(21&gt;=21,SUMPRODUCT(B20:B40+C20:C40*160)/21,0)</f>
        <v/>
      </c>
      <c r="I40" s="19">
        <f>IF(H40&gt;0,G40/H40,0)</f>
        <v/>
      </c>
    </row>
    <row r="41">
      <c r="A41" s="20" t="inlineStr">
        <is>
          <t>2026-04-01</t>
        </is>
      </c>
      <c r="B41" s="21" t="n">
        <v>100</v>
      </c>
      <c r="C41" s="21" t="n">
        <v>0</v>
      </c>
      <c r="D41" s="22">
        <f>D40+B41</f>
        <v/>
      </c>
      <c r="E41" s="22">
        <f>E40+C41</f>
        <v/>
      </c>
      <c r="F41" s="22">
        <f>D41/160+E41</f>
        <v/>
      </c>
      <c r="G41" s="22">
        <f>MAX((80-F41)*160,0)</f>
        <v/>
      </c>
      <c r="H41" s="22">
        <f>IF(21&gt;=21,SUMPRODUCT(B21:B41+C21:C41*160)/21,0)</f>
        <v/>
      </c>
      <c r="I41" s="22">
        <f>IF(H41&gt;0,G41/H41,0)</f>
        <v/>
      </c>
    </row>
    <row r="42">
      <c r="A42" s="23" t="inlineStr">
        <is>
          <t>2026-04-02</t>
        </is>
      </c>
      <c r="B42" s="24" t="n">
        <v>481</v>
      </c>
      <c r="C42" s="24" t="n">
        <v>0</v>
      </c>
      <c r="D42" s="25">
        <f>D41+B42</f>
        <v/>
      </c>
      <c r="E42" s="25">
        <f>E41+C42</f>
        <v/>
      </c>
      <c r="F42" s="25">
        <f>D42/160+E42</f>
        <v/>
      </c>
      <c r="G42" s="25">
        <f>MAX((80-F42)*160,0)</f>
        <v/>
      </c>
      <c r="H42" s="25">
        <f>IF(21&gt;=21,SUMPRODUCT(B22:B42+C22:C42*160)/21,0)</f>
        <v/>
      </c>
      <c r="I42" s="25">
        <f>IF(H42&gt;0,G42/H42,0)</f>
        <v/>
      </c>
    </row>
    <row r="43">
      <c r="A43" s="20" t="inlineStr">
        <is>
          <t>2026-04-03</t>
        </is>
      </c>
      <c r="B43" s="21" t="n">
        <v>150</v>
      </c>
      <c r="C43" s="21" t="n">
        <v>0</v>
      </c>
      <c r="D43" s="22">
        <f>D42+B43</f>
        <v/>
      </c>
      <c r="E43" s="22">
        <f>E42+C43</f>
        <v/>
      </c>
      <c r="F43" s="22">
        <f>D43/160+E43</f>
        <v/>
      </c>
      <c r="G43" s="22">
        <f>MAX((80-F43)*160,0)</f>
        <v/>
      </c>
      <c r="H43" s="22">
        <f>IF(21&gt;=21,SUMPRODUCT(B23:B43+C23:C43*160)/21,0)</f>
        <v/>
      </c>
      <c r="I43" s="22">
        <f>IF(H43&gt;0,G43/H43,0)</f>
        <v/>
      </c>
    </row>
    <row r="44">
      <c r="A44" s="23" t="inlineStr">
        <is>
          <t>2026-04-04</t>
        </is>
      </c>
      <c r="B44" s="24" t="n">
        <v>150</v>
      </c>
      <c r="C44" s="24" t="n">
        <v>0</v>
      </c>
      <c r="D44" s="25">
        <f>D43+B44</f>
        <v/>
      </c>
      <c r="E44" s="25">
        <f>E43+C44</f>
        <v/>
      </c>
      <c r="F44" s="25">
        <f>D44/160+E44</f>
        <v/>
      </c>
      <c r="G44" s="25">
        <f>MAX((80-F44)*160,0)</f>
        <v/>
      </c>
      <c r="H44" s="25">
        <f>IF(21&gt;=21,SUMPRODUCT(B24:B44+C24:C44*160)/21,0)</f>
        <v/>
      </c>
      <c r="I44" s="25">
        <f>IF(H44&gt;0,G44/H44,0)</f>
        <v/>
      </c>
    </row>
    <row r="45">
      <c r="A45" s="20" t="inlineStr">
        <is>
          <t>2026-04-05</t>
        </is>
      </c>
      <c r="B45" s="21" t="n">
        <v>0</v>
      </c>
      <c r="C45" s="21" t="n">
        <v>0</v>
      </c>
      <c r="D45" s="22">
        <f>D44+B45</f>
        <v/>
      </c>
      <c r="E45" s="22">
        <f>E44+C45</f>
        <v/>
      </c>
      <c r="F45" s="22">
        <f>D45/160+E45</f>
        <v/>
      </c>
      <c r="G45" s="22">
        <f>MAX((80-F45)*160,0)</f>
        <v/>
      </c>
      <c r="H45" s="22">
        <f>IF(21&gt;=21,SUMPRODUCT(B25:B45+C25:C45*160)/21,0)</f>
        <v/>
      </c>
      <c r="I45" s="22">
        <f>IF(H45&gt;0,G45/H45,0)</f>
        <v/>
      </c>
    </row>
    <row r="46">
      <c r="A46" s="23" t="inlineStr">
        <is>
          <t>2026-04-06</t>
        </is>
      </c>
      <c r="B46" s="24" t="n">
        <v>150</v>
      </c>
      <c r="C46" s="24" t="n">
        <v>0</v>
      </c>
      <c r="D46" s="25">
        <f>D45+B46</f>
        <v/>
      </c>
      <c r="E46" s="25">
        <f>E45+C46</f>
        <v/>
      </c>
      <c r="F46" s="25">
        <f>D46/160+E46</f>
        <v/>
      </c>
      <c r="G46" s="25">
        <f>MAX((80-F46)*160,0)</f>
        <v/>
      </c>
      <c r="H46" s="25">
        <f>IF(21&gt;=21,SUMPRODUCT(B26:B46+C26:C46*160)/21,0)</f>
        <v/>
      </c>
      <c r="I46" s="25">
        <f>IF(H46&gt;0,G46/H46,0)</f>
        <v/>
      </c>
    </row>
    <row r="47">
      <c r="A47" s="20" t="inlineStr">
        <is>
          <t>2026-04-07</t>
        </is>
      </c>
      <c r="B47" s="21" t="n">
        <v>150</v>
      </c>
      <c r="C47" s="21" t="n">
        <v>0</v>
      </c>
      <c r="D47" s="22">
        <f>D46+B47</f>
        <v/>
      </c>
      <c r="E47" s="22">
        <f>E46+C47</f>
        <v/>
      </c>
      <c r="F47" s="22">
        <f>D47/160+E47</f>
        <v/>
      </c>
      <c r="G47" s="22">
        <f>MAX((80-F47)*160,0)</f>
        <v/>
      </c>
      <c r="H47" s="22">
        <f>IF(21&gt;=21,SUMPRODUCT(B27:B47+C27:C47*160)/21,0)</f>
        <v/>
      </c>
      <c r="I47" s="22">
        <f>IF(H47&gt;0,G47/H47,0)</f>
        <v/>
      </c>
    </row>
    <row r="48">
      <c r="A48" s="23" t="inlineStr">
        <is>
          <t>2026-04-08</t>
        </is>
      </c>
      <c r="B48" s="24" t="n">
        <v>150</v>
      </c>
      <c r="C48" s="24" t="n">
        <v>0</v>
      </c>
      <c r="D48" s="25">
        <f>D47+B48</f>
        <v/>
      </c>
      <c r="E48" s="25">
        <f>E47+C48</f>
        <v/>
      </c>
      <c r="F48" s="25">
        <f>D48/160+E48</f>
        <v/>
      </c>
      <c r="G48" s="25">
        <f>MAX((80-F48)*160,0)</f>
        <v/>
      </c>
      <c r="H48" s="25">
        <f>IF(21&gt;=21,SUMPRODUCT(B28:B48+C28:C48*160)/21,0)</f>
        <v/>
      </c>
      <c r="I48" s="25">
        <f>IF(H48&gt;0,G48/H48,0)</f>
        <v/>
      </c>
    </row>
    <row r="49">
      <c r="A49" s="20" t="inlineStr">
        <is>
          <t>2026-04-09</t>
        </is>
      </c>
      <c r="B49" s="21" t="n">
        <v>525</v>
      </c>
      <c r="C49" s="21" t="n">
        <v>0</v>
      </c>
      <c r="D49" s="22">
        <f>D48+B49</f>
        <v/>
      </c>
      <c r="E49" s="22">
        <f>E48+C49</f>
        <v/>
      </c>
      <c r="F49" s="22">
        <f>D49/160+E49</f>
        <v/>
      </c>
      <c r="G49" s="22">
        <f>MAX((80-F49)*160,0)</f>
        <v/>
      </c>
      <c r="H49" s="22">
        <f>IF(21&gt;=21,SUMPRODUCT(B29:B49+C29:C49*160)/21,0)</f>
        <v/>
      </c>
      <c r="I49" s="22">
        <f>IF(H49&gt;0,G49/H49,0)</f>
        <v/>
      </c>
    </row>
    <row r="50">
      <c r="A50" s="23" t="inlineStr">
        <is>
          <t>2026-04-10</t>
        </is>
      </c>
      <c r="B50" s="24" t="n">
        <v>450</v>
      </c>
      <c r="C50" s="24" t="n">
        <v>0</v>
      </c>
      <c r="D50" s="25">
        <f>D49+B50</f>
        <v/>
      </c>
      <c r="E50" s="25">
        <f>E49+C50</f>
        <v/>
      </c>
      <c r="F50" s="25">
        <f>D50/160+E50</f>
        <v/>
      </c>
      <c r="G50" s="25">
        <f>MAX((80-F50)*160,0)</f>
        <v/>
      </c>
      <c r="H50" s="25">
        <f>IF(21&gt;=21,SUMPRODUCT(B30:B50+C30:C50*160)/21,0)</f>
        <v/>
      </c>
      <c r="I50" s="25">
        <f>IF(H50&gt;0,G50/H50,0)</f>
        <v/>
      </c>
    </row>
    <row r="51">
      <c r="A51" s="20" t="inlineStr">
        <is>
          <t>2026-04-11</t>
        </is>
      </c>
      <c r="B51" s="21" t="n">
        <v>150</v>
      </c>
      <c r="C51" s="21" t="n">
        <v>0</v>
      </c>
      <c r="D51" s="22">
        <f>D50+B51</f>
        <v/>
      </c>
      <c r="E51" s="22">
        <f>E50+C51</f>
        <v/>
      </c>
      <c r="F51" s="22">
        <f>D51/160+E51</f>
        <v/>
      </c>
      <c r="G51" s="22">
        <f>MAX((80-F51)*160,0)</f>
        <v/>
      </c>
      <c r="H51" s="22">
        <f>IF(21&gt;=21,SUMPRODUCT(B31:B51+C31:C51*160)/21,0)</f>
        <v/>
      </c>
      <c r="I51" s="22">
        <f>IF(H51&gt;0,G51/H51,0)</f>
        <v/>
      </c>
    </row>
    <row r="52">
      <c r="A52" s="23" t="inlineStr">
        <is>
          <t>2026-04-12</t>
        </is>
      </c>
      <c r="B52" s="24" t="n">
        <v>150</v>
      </c>
      <c r="C52" s="24" t="n">
        <v>0</v>
      </c>
      <c r="D52" s="25">
        <f>D51+B52</f>
        <v/>
      </c>
      <c r="E52" s="25">
        <f>E51+C52</f>
        <v/>
      </c>
      <c r="F52" s="25">
        <f>D52/160+E52</f>
        <v/>
      </c>
      <c r="G52" s="25">
        <f>MAX((80-F52)*160,0)</f>
        <v/>
      </c>
      <c r="H52" s="25">
        <f>IF(21&gt;=21,SUMPRODUCT(B32:B52+C32:C52*160)/21,0)</f>
        <v/>
      </c>
      <c r="I52" s="25">
        <f>IF(H52&gt;0,G52/H52,0)</f>
        <v/>
      </c>
    </row>
    <row r="53">
      <c r="A53" s="20" t="inlineStr">
        <is>
          <t>2026-04-13</t>
        </is>
      </c>
      <c r="B53" s="21" t="n">
        <v>1315</v>
      </c>
      <c r="C53" s="21" t="n">
        <v>0</v>
      </c>
      <c r="D53" s="22">
        <f>D52+B53</f>
        <v/>
      </c>
      <c r="E53" s="22">
        <f>E52+C53</f>
        <v/>
      </c>
      <c r="F53" s="22">
        <f>D53/160+E53</f>
        <v/>
      </c>
      <c r="G53" s="22">
        <f>MAX((80-F53)*160,0)</f>
        <v/>
      </c>
      <c r="H53" s="22">
        <f>IF(21&gt;=21,SUMPRODUCT(B33:B53+C33:C53*160)/21,0)</f>
        <v/>
      </c>
      <c r="I53" s="22">
        <f>IF(H53&gt;0,G53/H53,0)</f>
        <v/>
      </c>
    </row>
    <row r="54">
      <c r="A54" s="23" t="inlineStr">
        <is>
          <t>2026-04-14</t>
        </is>
      </c>
      <c r="B54" s="24" t="n">
        <v>150</v>
      </c>
      <c r="C54" s="24" t="n">
        <v>0</v>
      </c>
      <c r="D54" s="25" t="n">
        <v>103</v>
      </c>
      <c r="E54" s="25" t="n">
        <v>74</v>
      </c>
      <c r="F54" s="25">
        <f>D54/160+E54</f>
        <v/>
      </c>
      <c r="G54" s="25">
        <f>MAX((80-F54)*160,0)</f>
        <v/>
      </c>
      <c r="H54" s="25">
        <f>IF(21&gt;=21,SUMPRODUCT(B34:B54+C34:C54*160)/21,0)</f>
        <v/>
      </c>
      <c r="I54" s="25">
        <f>IF(H54&gt;0,G54/H54,0)</f>
        <v/>
      </c>
    </row>
    <row r="55">
      <c r="A55" s="26" t="inlineStr">
        <is>
          <t>2026-04-15</t>
        </is>
      </c>
      <c r="B55" s="27" t="n">
        <v>250</v>
      </c>
      <c r="C55" s="27" t="n">
        <v>0</v>
      </c>
      <c r="D55" s="28">
        <f>D54+B55</f>
        <v/>
      </c>
      <c r="E55" s="28">
        <f>E54+C55</f>
        <v/>
      </c>
      <c r="F55" s="28">
        <f>D55/160+E55</f>
        <v/>
      </c>
      <c r="G55" s="28">
        <f>MAX((80-F55)*160,0)</f>
        <v/>
      </c>
      <c r="H55" s="28">
        <f>IF(21&gt;=21,SUMPRODUCT(B35:B55+C35:C55*160)/21,0)</f>
        <v/>
      </c>
      <c r="I55" s="28">
        <f>IF(H55&gt;0,G55/H55,0)</f>
        <v/>
      </c>
    </row>
    <row r="56">
      <c r="A56" s="29" t="inlineStr">
        <is>
          <t>2026-04-16</t>
        </is>
      </c>
      <c r="B56" s="30" t="n">
        <v>150</v>
      </c>
      <c r="C56" s="30" t="n">
        <v>0</v>
      </c>
      <c r="D56" s="31">
        <f>D55+B56</f>
        <v/>
      </c>
      <c r="E56" s="31">
        <f>E55+C56</f>
        <v/>
      </c>
      <c r="F56" s="31">
        <f>D56/160+E56</f>
        <v/>
      </c>
      <c r="G56" s="31">
        <f>MAX((80-F56)*160,0)</f>
        <v/>
      </c>
      <c r="H56" s="31">
        <f>IF(21&gt;=21,SUMPRODUCT(B36:B56+C36:C56*160)/21,0)</f>
        <v/>
      </c>
      <c r="I56" s="31">
        <f>IF(H56&gt;0,G56/H56,0)</f>
        <v/>
      </c>
    </row>
    <row r="57">
      <c r="A57" s="26" t="inlineStr">
        <is>
          <t>2026-04-17</t>
        </is>
      </c>
      <c r="B57" s="27" t="n">
        <v>150</v>
      </c>
      <c r="C57" s="27" t="n">
        <v>0</v>
      </c>
      <c r="D57" s="28">
        <f>D56+B57</f>
        <v/>
      </c>
      <c r="E57" s="28">
        <f>E56+C57</f>
        <v/>
      </c>
      <c r="F57" s="28">
        <f>D57/160+E57</f>
        <v/>
      </c>
      <c r="G57" s="28">
        <f>MAX((80-F57)*160,0)</f>
        <v/>
      </c>
      <c r="H57" s="28">
        <f>IF(21&gt;=21,SUMPRODUCT(B37:B57+C37:C57*160)/21,0)</f>
        <v/>
      </c>
      <c r="I57" s="28">
        <f>IF(H57&gt;0,G57/H57,0)</f>
        <v/>
      </c>
    </row>
    <row r="58">
      <c r="A58" s="29" t="inlineStr">
        <is>
          <t>2026-04-18</t>
        </is>
      </c>
      <c r="B58" s="30" t="n">
        <v>150</v>
      </c>
      <c r="C58" s="30" t="n">
        <v>0</v>
      </c>
      <c r="D58" s="31">
        <f>D57+B58</f>
        <v/>
      </c>
      <c r="E58" s="31">
        <f>E57+C58</f>
        <v/>
      </c>
      <c r="F58" s="31">
        <f>D58/160+E58</f>
        <v/>
      </c>
      <c r="G58" s="31">
        <f>MAX((80-F58)*160,0)</f>
        <v/>
      </c>
      <c r="H58" s="31">
        <f>IF(21&gt;=21,SUMPRODUCT(B38:B58+C38:C58*160)/21,0)</f>
        <v/>
      </c>
      <c r="I58" s="31">
        <f>IF(H58&gt;0,G58/H58,0)</f>
        <v/>
      </c>
    </row>
    <row r="59">
      <c r="A59" s="26" t="inlineStr">
        <is>
          <t>2026-04-19</t>
        </is>
      </c>
      <c r="B59" s="27" t="n">
        <v>170</v>
      </c>
      <c r="C59" s="27" t="n">
        <v>0</v>
      </c>
      <c r="D59" s="28">
        <f>D58+B59</f>
        <v/>
      </c>
      <c r="E59" s="28">
        <f>E58+C59</f>
        <v/>
      </c>
      <c r="F59" s="28">
        <f>D59/160+E59</f>
        <v/>
      </c>
      <c r="G59" s="28">
        <f>MAX((80-F59)*160,0)</f>
        <v/>
      </c>
      <c r="H59" s="28">
        <f>IF(21&gt;=21,SUMPRODUCT(B39:B59+C39:C59*160)/21,0)</f>
        <v/>
      </c>
      <c r="I59" s="28">
        <f>IF(H59&gt;0,G59/H59,0)</f>
        <v/>
      </c>
    </row>
    <row r="60">
      <c r="A60" s="29" t="inlineStr">
        <is>
          <t>2026-04-20</t>
        </is>
      </c>
      <c r="B60" s="30" t="n">
        <v>630</v>
      </c>
      <c r="C60" s="30" t="n">
        <v>0</v>
      </c>
      <c r="D60" s="31">
        <f>D59+B60</f>
        <v/>
      </c>
      <c r="E60" s="31">
        <f>E59+C60</f>
        <v/>
      </c>
      <c r="F60" s="31">
        <f>D60/160+E60</f>
        <v/>
      </c>
      <c r="G60" s="31">
        <f>MAX((80-F60)*160,0)</f>
        <v/>
      </c>
      <c r="H60" s="31">
        <f>IF(21&gt;=21,SUMPRODUCT(B40:B60+C40:C60*160)/21,0)</f>
        <v/>
      </c>
      <c r="I60" s="31">
        <f>IF(H60&gt;0,G60/H60,0)</f>
        <v/>
      </c>
    </row>
    <row r="61">
      <c r="A61" s="26" t="inlineStr">
        <is>
          <t>2026-04-21</t>
        </is>
      </c>
      <c r="B61" s="27" t="n">
        <v>150</v>
      </c>
      <c r="C61" s="27" t="n">
        <v>0</v>
      </c>
      <c r="D61" s="28">
        <f>D60+B61</f>
        <v/>
      </c>
      <c r="E61" s="28">
        <f>E60+C61</f>
        <v/>
      </c>
      <c r="F61" s="28">
        <f>D61/160+E61</f>
        <v/>
      </c>
      <c r="G61" s="28">
        <f>MAX((80-F61)*160,0)</f>
        <v/>
      </c>
      <c r="H61" s="28">
        <f>IF(21&gt;=21,SUMPRODUCT(B41:B61+C41:C61*160)/21,0)</f>
        <v/>
      </c>
      <c r="I61" s="28">
        <f>IF(H61&gt;0,G61/H61,0)</f>
        <v/>
      </c>
    </row>
    <row r="62">
      <c r="A62" s="29" t="inlineStr">
        <is>
          <t>2026-04-22</t>
        </is>
      </c>
      <c r="B62" s="30" t="n">
        <v>640</v>
      </c>
      <c r="C62" s="30" t="n">
        <v>0</v>
      </c>
      <c r="D62" s="31">
        <f>D61+B62</f>
        <v/>
      </c>
      <c r="E62" s="31">
        <f>E61+C62</f>
        <v/>
      </c>
      <c r="F62" s="31">
        <f>D62/160+E62</f>
        <v/>
      </c>
      <c r="G62" s="31">
        <f>MAX((80-F62)*160,0)</f>
        <v/>
      </c>
      <c r="H62" s="31">
        <f>IF(21&gt;=21,SUMPRODUCT(B42:B62+C42:C62*160)/21,0)</f>
        <v/>
      </c>
      <c r="I62" s="31">
        <f>IF(H62&gt;0,G62/H62,0)</f>
        <v/>
      </c>
    </row>
    <row r="63">
      <c r="A63" s="26" t="inlineStr">
        <is>
          <t>2026-04-23</t>
        </is>
      </c>
      <c r="B63" s="27" t="n">
        <v>230</v>
      </c>
      <c r="C63" s="27" t="n">
        <v>0</v>
      </c>
      <c r="D63" s="28">
        <f>D62+B63</f>
        <v/>
      </c>
      <c r="E63" s="28">
        <f>E62+C63</f>
        <v/>
      </c>
      <c r="F63" s="28">
        <f>D63/160+E63</f>
        <v/>
      </c>
      <c r="G63" s="28">
        <f>MAX((80-F63)*160,0)</f>
        <v/>
      </c>
      <c r="H63" s="28">
        <f>IF(21&gt;=21,SUMPRODUCT(B43:B63+C43:C63*160)/21,0)</f>
        <v/>
      </c>
      <c r="I63" s="28">
        <f>IF(H63&gt;0,G63/H63,0)</f>
        <v/>
      </c>
    </row>
    <row r="64">
      <c r="A64" s="29" t="inlineStr">
        <is>
          <t>2026-04-24</t>
        </is>
      </c>
      <c r="B64" s="30" t="n">
        <v>767</v>
      </c>
      <c r="C64" s="30" t="n">
        <v>0</v>
      </c>
      <c r="D64" s="31">
        <f>D63+B64</f>
        <v/>
      </c>
      <c r="E64" s="31">
        <f>E63+C64</f>
        <v/>
      </c>
      <c r="F64" s="31">
        <f>D64/160+E64</f>
        <v/>
      </c>
      <c r="G64" s="31">
        <f>MAX((80-F64)*160,0)</f>
        <v/>
      </c>
      <c r="H64" s="31">
        <f>IF(21&gt;=21,SUMPRODUCT(B44:B64+C44:C64*160)/21,0)</f>
        <v/>
      </c>
      <c r="I64" s="31">
        <f>IF(H64&gt;0,G64/H64,0)</f>
        <v/>
      </c>
    </row>
    <row r="65">
      <c r="A65" s="26" t="inlineStr">
        <is>
          <t>2026-04-25</t>
        </is>
      </c>
      <c r="B65" s="27" t="n">
        <v>1428</v>
      </c>
      <c r="C65" s="27" t="n">
        <v>0</v>
      </c>
      <c r="D65" s="28">
        <f>D64+B65</f>
        <v/>
      </c>
      <c r="E65" s="28">
        <f>E64+C65</f>
        <v/>
      </c>
      <c r="F65" s="28">
        <f>D65/160+E65</f>
        <v/>
      </c>
      <c r="G65" s="28">
        <f>MAX((80-F65)*160,0)</f>
        <v/>
      </c>
      <c r="H65" s="28">
        <f>IF(21&gt;=21,SUMPRODUCT(B45:B65+C45:C65*160)/21,0)</f>
        <v/>
      </c>
      <c r="I65" s="28">
        <f>IF(H65&gt;0,G65/H65,0)</f>
        <v/>
      </c>
    </row>
    <row r="66">
      <c r="A66" s="29" t="inlineStr">
        <is>
          <t>2026-04-26</t>
        </is>
      </c>
      <c r="B66" s="30" t="n">
        <v>1930</v>
      </c>
      <c r="C66" s="30" t="n">
        <v>0</v>
      </c>
      <c r="D66" s="31">
        <f>D65+B66</f>
        <v/>
      </c>
      <c r="E66" s="31">
        <f>E65+C66</f>
        <v/>
      </c>
      <c r="F66" s="31">
        <f>D66/160+E66</f>
        <v/>
      </c>
      <c r="G66" s="31">
        <f>MAX((80-F66)*160,0)</f>
        <v/>
      </c>
      <c r="H66" s="31">
        <f>IF(21&gt;=21,SUMPRODUCT(B46:B66+C46:C66*160)/21,0)</f>
        <v/>
      </c>
      <c r="I66" s="31">
        <f>IF(H66&gt;0,G66/H66,0)</f>
        <v/>
      </c>
    </row>
    <row r="67">
      <c r="A67" s="26" t="inlineStr">
        <is>
          <t>2026-04-27</t>
        </is>
      </c>
      <c r="B67" s="27" t="n">
        <v>110</v>
      </c>
      <c r="C67" s="27" t="n">
        <v>0</v>
      </c>
      <c r="D67" s="28">
        <f>D66+B67</f>
        <v/>
      </c>
      <c r="E67" s="28">
        <f>E66+C67</f>
        <v/>
      </c>
      <c r="F67" s="28">
        <f>D67/160+E67</f>
        <v/>
      </c>
      <c r="G67" s="28">
        <f>MAX((80-F67)*160,0)</f>
        <v/>
      </c>
      <c r="H67" s="28">
        <f>IF(21&gt;=21,SUMPRODUCT(B47:B67+C47:C67*160)/21,0)</f>
        <v/>
      </c>
      <c r="I67" s="28">
        <f>IF(H67&gt;0,G67/H67,0)</f>
        <v/>
      </c>
    </row>
    <row r="68">
      <c r="A68" s="29" t="inlineStr">
        <is>
          <t>2026-04-28</t>
        </is>
      </c>
      <c r="B68" s="30" t="n">
        <v>190</v>
      </c>
      <c r="C68" s="30" t="n">
        <v>0</v>
      </c>
      <c r="D68" s="31">
        <f>D67+B68</f>
        <v/>
      </c>
      <c r="E68" s="31">
        <f>E67+C68</f>
        <v/>
      </c>
      <c r="F68" s="31">
        <f>D68/160+E68</f>
        <v/>
      </c>
      <c r="G68" s="31">
        <f>MAX((80-F68)*160,0)</f>
        <v/>
      </c>
      <c r="H68" s="31">
        <f>IF(21&gt;=21,SUMPRODUCT(B48:B68+C48:C68*160)/21,0)</f>
        <v/>
      </c>
      <c r="I68" s="31">
        <f>IF(H68&gt;0,G68/H68,0)</f>
        <v/>
      </c>
    </row>
    <row r="69">
      <c r="A69" s="26" t="inlineStr">
        <is>
          <t>2026-04-29</t>
        </is>
      </c>
      <c r="B69" s="27" t="n">
        <v>110</v>
      </c>
      <c r="C69" s="27" t="n">
        <v>0</v>
      </c>
      <c r="D69" s="28">
        <f>D68+B69</f>
        <v/>
      </c>
      <c r="E69" s="28">
        <f>E68+C69</f>
        <v/>
      </c>
      <c r="F69" s="28">
        <f>D69/160+E69</f>
        <v/>
      </c>
      <c r="G69" s="28">
        <f>MAX((80-F69)*160,0)</f>
        <v/>
      </c>
      <c r="H69" s="28">
        <f>IF(21&gt;=21,SUMPRODUCT(B49:B69+C49:C69*160)/21,0)</f>
        <v/>
      </c>
      <c r="I69" s="28">
        <f>IF(H69&gt;0,G69/H69,0)</f>
        <v/>
      </c>
    </row>
    <row r="70">
      <c r="A70" s="29" t="inlineStr">
        <is>
          <t>2026-04-30</t>
        </is>
      </c>
      <c r="B70" s="30" t="n">
        <v>340</v>
      </c>
      <c r="C70" s="30" t="n">
        <v>0</v>
      </c>
      <c r="D70" s="31">
        <f>D69+B70</f>
        <v/>
      </c>
      <c r="E70" s="31">
        <f>E69+C70</f>
        <v/>
      </c>
      <c r="F70" s="31">
        <f>D70/160+E70</f>
        <v/>
      </c>
      <c r="G70" s="31">
        <f>MAX((80-F70)*160,0)</f>
        <v/>
      </c>
      <c r="H70" s="31">
        <f>IF(21&gt;=21,SUMPRODUCT(B50:B70+C50:C70*160)/21,0)</f>
        <v/>
      </c>
      <c r="I70" s="31">
        <f>IF(H70&gt;0,G70/H70,0)</f>
        <v/>
      </c>
    </row>
    <row r="71">
      <c r="A71" s="26" t="inlineStr">
        <is>
          <t>2026-05-01</t>
        </is>
      </c>
      <c r="B71" s="27" t="n">
        <v>150</v>
      </c>
      <c r="C71" s="27" t="n">
        <v>0</v>
      </c>
      <c r="D71" s="28">
        <f>D70+B71</f>
        <v/>
      </c>
      <c r="E71" s="28">
        <f>E70+C71</f>
        <v/>
      </c>
      <c r="F71" s="28">
        <f>D71/160+E71</f>
        <v/>
      </c>
      <c r="G71" s="28">
        <f>MAX((80-F71)*160,0)</f>
        <v/>
      </c>
      <c r="H71" s="28">
        <f>IF(21&gt;=21,SUMPRODUCT(B51:B71+C51:C71*160)/21,0)</f>
        <v/>
      </c>
      <c r="I71" s="28">
        <f>IF(H71&gt;0,G71/H71,0)</f>
        <v/>
      </c>
    </row>
    <row r="72">
      <c r="A72" s="29" t="inlineStr">
        <is>
          <t>2026-05-02</t>
        </is>
      </c>
      <c r="B72" s="30" t="n">
        <v>580</v>
      </c>
      <c r="C72" s="30" t="n">
        <v>0</v>
      </c>
      <c r="D72" s="31">
        <f>D71+B72</f>
        <v/>
      </c>
      <c r="E72" s="31">
        <f>E71+C72</f>
        <v/>
      </c>
      <c r="F72" s="31">
        <f>D72/160+E72</f>
        <v/>
      </c>
      <c r="G72" s="31">
        <f>MAX((80-F72)*160,0)</f>
        <v/>
      </c>
      <c r="H72" s="31">
        <f>IF(21&gt;=21,SUMPRODUCT(B52:B72+C52:C72*160)/21,0)</f>
        <v/>
      </c>
      <c r="I72" s="31">
        <f>IF(H72&gt;0,G72/H72,0)</f>
        <v/>
      </c>
    </row>
    <row r="73">
      <c r="A73" s="26" t="inlineStr">
        <is>
          <t>2026-05-03</t>
        </is>
      </c>
      <c r="B73" s="27" t="n">
        <v>370</v>
      </c>
      <c r="C73" s="27" t="n">
        <v>0</v>
      </c>
      <c r="D73" s="28">
        <f>D72+B73</f>
        <v/>
      </c>
      <c r="E73" s="28">
        <f>E72+C73</f>
        <v/>
      </c>
      <c r="F73" s="28">
        <f>D73/160+E73</f>
        <v/>
      </c>
      <c r="G73" s="28">
        <f>MAX((80-F73)*160,0)</f>
        <v/>
      </c>
      <c r="H73" s="28">
        <f>IF(21&gt;=21,SUMPRODUCT(B53:B73+C53:C73*160)/21,0)</f>
        <v/>
      </c>
      <c r="I73" s="28">
        <f>IF(H73&gt;0,G73/H73,0)</f>
        <v/>
      </c>
    </row>
    <row r="74">
      <c r="A74" s="29" t="inlineStr">
        <is>
          <t>2026-05-04</t>
        </is>
      </c>
      <c r="B74" s="30" t="n">
        <v>377</v>
      </c>
      <c r="C74" s="30" t="n">
        <v>0</v>
      </c>
      <c r="D74" s="31">
        <f>D73+B74</f>
        <v/>
      </c>
      <c r="E74" s="31">
        <f>E73+C74</f>
        <v/>
      </c>
      <c r="F74" s="31">
        <f>D74/160+E74</f>
        <v/>
      </c>
      <c r="G74" s="31">
        <f>MAX((80-F74)*160,0)</f>
        <v/>
      </c>
      <c r="H74" s="31">
        <f>IF(21&gt;=21,SUMPRODUCT(B54:B74+C54:C74*160)/21,0)</f>
        <v/>
      </c>
      <c r="I74" s="31">
        <f>IF(H74&gt;0,G74/H74,0)</f>
        <v/>
      </c>
    </row>
    <row r="75">
      <c r="A75" s="26" t="inlineStr">
        <is>
          <t>2026-05-05</t>
        </is>
      </c>
      <c r="B75" s="27" t="n">
        <v>210</v>
      </c>
      <c r="C75" s="27" t="n">
        <v>0</v>
      </c>
      <c r="D75" s="28">
        <f>D74+B75</f>
        <v/>
      </c>
      <c r="E75" s="28">
        <f>E74+C75</f>
        <v/>
      </c>
      <c r="F75" s="28">
        <f>D75/160+E75</f>
        <v/>
      </c>
      <c r="G75" s="28">
        <f>MAX((80-F75)*160,0)</f>
        <v/>
      </c>
      <c r="H75" s="28">
        <f>IF(21&gt;=21,SUMPRODUCT(B55:B75+C55:C75*160)/21,0)</f>
        <v/>
      </c>
      <c r="I75" s="28">
        <f>IF(H75&gt;0,G75/H75,0)</f>
        <v/>
      </c>
    </row>
    <row r="76">
      <c r="A76" s="29" t="inlineStr">
        <is>
          <t>2026-05-06</t>
        </is>
      </c>
      <c r="B76" s="30" t="n">
        <v>150</v>
      </c>
      <c r="C76" s="30" t="n">
        <v>0</v>
      </c>
      <c r="D76" s="31">
        <f>D75+B76</f>
        <v/>
      </c>
      <c r="E76" s="31">
        <f>E75+C76</f>
        <v/>
      </c>
      <c r="F76" s="31">
        <f>D76/160+E76</f>
        <v/>
      </c>
      <c r="G76" s="31">
        <f>MAX((80-F76)*160,0)</f>
        <v/>
      </c>
      <c r="H76" s="31">
        <f>IF(21&gt;=21,SUMPRODUCT(B56:B76+C56:C76*160)/21,0)</f>
        <v/>
      </c>
      <c r="I76" s="31">
        <f>IF(H76&gt;0,G76/H76,0)</f>
        <v/>
      </c>
    </row>
    <row r="77">
      <c r="A77" s="26" t="inlineStr">
        <is>
          <t>2026-05-07</t>
        </is>
      </c>
      <c r="B77" s="27" t="n">
        <v>158</v>
      </c>
      <c r="C77" s="27" t="n">
        <v>0</v>
      </c>
      <c r="D77" s="28">
        <f>D76+B77</f>
        <v/>
      </c>
      <c r="E77" s="28">
        <f>E76+C77</f>
        <v/>
      </c>
      <c r="F77" s="28">
        <f>D77/160+E77</f>
        <v/>
      </c>
      <c r="G77" s="28">
        <f>MAX((80-F77)*160,0)</f>
        <v/>
      </c>
      <c r="H77" s="28">
        <f>IF(21&gt;=21,SUMPRODUCT(B57:B77+C57:C77*160)/21,0)</f>
        <v/>
      </c>
      <c r="I77" s="28">
        <f>IF(H77&gt;0,G77/H77,0)</f>
        <v/>
      </c>
    </row>
    <row r="78">
      <c r="A78" s="29" t="inlineStr">
        <is>
          <t>2026-05-08</t>
        </is>
      </c>
      <c r="B78" s="30" t="n">
        <v>150</v>
      </c>
      <c r="C78" s="30" t="n">
        <v>0</v>
      </c>
      <c r="D78" s="31">
        <f>D77+B78</f>
        <v/>
      </c>
      <c r="E78" s="31">
        <f>E77+C78</f>
        <v/>
      </c>
      <c r="F78" s="31">
        <f>D78/160+E78</f>
        <v/>
      </c>
      <c r="G78" s="31">
        <f>MAX((80-F78)*160,0)</f>
        <v/>
      </c>
      <c r="H78" s="31">
        <f>IF(21&gt;=21,SUMPRODUCT(B58:B78+C58:C78*160)/21,0)</f>
        <v/>
      </c>
      <c r="I78" s="31">
        <f>IF(H78&gt;0,G78/H78,0)</f>
        <v/>
      </c>
    </row>
    <row r="79">
      <c r="A79" s="26" t="inlineStr">
        <is>
          <t>2026-05-09</t>
        </is>
      </c>
      <c r="B79" s="27" t="n">
        <v>150</v>
      </c>
      <c r="C79" s="27" t="n">
        <v>0</v>
      </c>
      <c r="D79" s="28">
        <f>D78+B79</f>
        <v/>
      </c>
      <c r="E79" s="28">
        <f>E78+C79</f>
        <v/>
      </c>
      <c r="F79" s="28">
        <f>D79/160+E79</f>
        <v/>
      </c>
      <c r="G79" s="28">
        <f>MAX((80-F79)*160,0)</f>
        <v/>
      </c>
      <c r="H79" s="28">
        <f>IF(21&gt;=21,SUMPRODUCT(B59:B79+C59:C79*160)/21,0)</f>
        <v/>
      </c>
      <c r="I79" s="28">
        <f>IF(H79&gt;0,G79/H79,0)</f>
        <v/>
      </c>
    </row>
    <row r="80">
      <c r="A80" s="29" t="inlineStr">
        <is>
          <t>2026-05-10</t>
        </is>
      </c>
      <c r="B80" s="30" t="n">
        <v>150</v>
      </c>
      <c r="C80" s="30" t="n">
        <v>0</v>
      </c>
      <c r="D80" s="31">
        <f>D79+B80</f>
        <v/>
      </c>
      <c r="E80" s="31">
        <f>E79+C80</f>
        <v/>
      </c>
      <c r="F80" s="31">
        <f>D80/160+E80</f>
        <v/>
      </c>
      <c r="G80" s="31">
        <f>MAX((80-F80)*160,0)</f>
        <v/>
      </c>
      <c r="H80" s="31">
        <f>IF(21&gt;=21,SUMPRODUCT(B60:B80+C60:C80*160)/21,0)</f>
        <v/>
      </c>
      <c r="I80" s="31">
        <f>IF(H80&gt;0,G80/H80,0)</f>
        <v/>
      </c>
    </row>
    <row r="81">
      <c r="A81" s="26" t="inlineStr">
        <is>
          <t>2026-05-11</t>
        </is>
      </c>
      <c r="B81" s="27" t="n">
        <v>979</v>
      </c>
      <c r="C81" s="27" t="n">
        <v>0</v>
      </c>
      <c r="D81" s="28">
        <f>D80+B81</f>
        <v/>
      </c>
      <c r="E81" s="28">
        <f>E80+C81</f>
        <v/>
      </c>
      <c r="F81" s="28">
        <f>D81/160+E81</f>
        <v/>
      </c>
      <c r="G81" s="28">
        <f>MAX((80-F81)*160,0)</f>
        <v/>
      </c>
      <c r="H81" s="28">
        <f>IF(21&gt;=21,SUMPRODUCT(B61:B81+C61:C81*160)/21,0)</f>
        <v/>
      </c>
      <c r="I81" s="28">
        <f>IF(H81&gt;0,G81/H81,0)</f>
        <v/>
      </c>
    </row>
    <row r="82">
      <c r="A82" s="29" t="inlineStr">
        <is>
          <t>2026-05-12</t>
        </is>
      </c>
      <c r="B82" s="30" t="n">
        <v>170</v>
      </c>
      <c r="C82" s="30" t="n">
        <v>0</v>
      </c>
      <c r="D82" s="31">
        <f>D81+B82</f>
        <v/>
      </c>
      <c r="E82" s="31">
        <f>E81+C82</f>
        <v/>
      </c>
      <c r="F82" s="31">
        <f>D82/160+E82</f>
        <v/>
      </c>
      <c r="G82" s="31">
        <f>MAX((80-F82)*160,0)</f>
        <v/>
      </c>
      <c r="H82" s="31">
        <f>IF(21&gt;=21,SUMPRODUCT(B62:B82+C62:C82*160)/21,0)</f>
        <v/>
      </c>
      <c r="I82" s="31">
        <f>IF(H82&gt;0,G82/H82,0)</f>
        <v/>
      </c>
    </row>
    <row r="83">
      <c r="A83" s="26" t="inlineStr">
        <is>
          <t>2026-05-13</t>
        </is>
      </c>
      <c r="B83" s="27" t="n">
        <v>150</v>
      </c>
      <c r="C83" s="27" t="n">
        <v>0</v>
      </c>
      <c r="D83" s="28">
        <f>D82+B83</f>
        <v/>
      </c>
      <c r="E83" s="28">
        <f>E82+C83</f>
        <v/>
      </c>
      <c r="F83" s="28">
        <f>D83/160+E83</f>
        <v/>
      </c>
      <c r="G83" s="28">
        <f>MAX((80-F83)*160,0)</f>
        <v/>
      </c>
      <c r="H83" s="28">
        <f>IF(21&gt;=21,SUMPRODUCT(B63:B83+C63:C83*160)/21,0)</f>
        <v/>
      </c>
      <c r="I83" s="28">
        <f>IF(H83&gt;0,G83/H83,0)</f>
        <v/>
      </c>
    </row>
    <row r="84">
      <c r="A84" s="29" t="inlineStr">
        <is>
          <t>2026-05-14</t>
        </is>
      </c>
      <c r="B84" s="30" t="n">
        <v>155</v>
      </c>
      <c r="C84" s="30" t="n">
        <v>0</v>
      </c>
      <c r="D84" s="31">
        <f>D83+B84</f>
        <v/>
      </c>
      <c r="E84" s="31">
        <f>E83+C84</f>
        <v/>
      </c>
      <c r="F84" s="31">
        <f>D84/160+E84</f>
        <v/>
      </c>
      <c r="G84" s="31">
        <f>MAX((80-F84)*160,0)</f>
        <v/>
      </c>
      <c r="H84" s="31">
        <f>IF(21&gt;=21,SUMPRODUCT(B64:B84+C64:C84*160)/21,0)</f>
        <v/>
      </c>
      <c r="I84" s="31">
        <f>IF(H84&gt;0,G84/H84,0)</f>
        <v/>
      </c>
    </row>
    <row r="85">
      <c r="A85" s="26" t="inlineStr">
        <is>
          <t>2026-05-15</t>
        </is>
      </c>
      <c r="B85" s="27" t="n">
        <v>150</v>
      </c>
      <c r="C85" s="27" t="n">
        <v>0</v>
      </c>
      <c r="D85" s="28">
        <f>D84+B85</f>
        <v/>
      </c>
      <c r="E85" s="28">
        <f>E84+C85</f>
        <v/>
      </c>
      <c r="F85" s="28">
        <f>D85/160+E85</f>
        <v/>
      </c>
      <c r="G85" s="28">
        <f>MAX((80-F85)*160,0)</f>
        <v/>
      </c>
      <c r="H85" s="28">
        <f>IF(21&gt;=21,SUMPRODUCT(B65:B85+C65:C85*160)/21,0)</f>
        <v/>
      </c>
      <c r="I85" s="28">
        <f>IF(H85&gt;0,G85/H85,0)</f>
        <v/>
      </c>
    </row>
    <row r="86">
      <c r="A86" s="29" t="inlineStr">
        <is>
          <t>2026-05-16</t>
        </is>
      </c>
      <c r="B86" s="30" t="n">
        <v>0</v>
      </c>
      <c r="C86" s="30" t="n">
        <v>0</v>
      </c>
      <c r="D86" s="31">
        <f>D85+B86</f>
        <v/>
      </c>
      <c r="E86" s="31">
        <f>E85+C86</f>
        <v/>
      </c>
      <c r="F86" s="31">
        <f>D86/160+E86</f>
        <v/>
      </c>
      <c r="G86" s="31">
        <f>MAX((80-F86)*160,0)</f>
        <v/>
      </c>
      <c r="H86" s="31">
        <f>IF(21&gt;=21,SUMPRODUCT(B66:B86+C66:C86*160)/21,0)</f>
        <v/>
      </c>
      <c r="I86" s="31">
        <f>IF(H86&gt;0,G86/H86,0)</f>
        <v/>
      </c>
    </row>
    <row r="87">
      <c r="A87" s="26" t="inlineStr">
        <is>
          <t>2026-05-17</t>
        </is>
      </c>
      <c r="B87" s="27" t="n">
        <v>150</v>
      </c>
      <c r="C87" s="27" t="n">
        <v>0</v>
      </c>
      <c r="D87" s="28">
        <f>D86+B87</f>
        <v/>
      </c>
      <c r="E87" s="28">
        <f>E86+C87</f>
        <v/>
      </c>
      <c r="F87" s="28">
        <f>D87/160+E87</f>
        <v/>
      </c>
      <c r="G87" s="28">
        <f>MAX((80-F87)*160,0)</f>
        <v/>
      </c>
      <c r="H87" s="28">
        <f>IF(21&gt;=21,SUMPRODUCT(B67:B87+C67:C87*160)/21,0)</f>
        <v/>
      </c>
      <c r="I87" s="28">
        <f>IF(H87&gt;0,G87/H87,0)</f>
        <v/>
      </c>
    </row>
    <row r="88">
      <c r="A88" s="29" t="inlineStr">
        <is>
          <t>2026-05-18</t>
        </is>
      </c>
      <c r="B88" s="30" t="n">
        <v>266</v>
      </c>
      <c r="C88" s="30" t="n">
        <v>0</v>
      </c>
      <c r="D88" s="31">
        <f>D87+B88</f>
        <v/>
      </c>
      <c r="E88" s="31">
        <f>E87+C88</f>
        <v/>
      </c>
      <c r="F88" s="31">
        <f>D88/160+E88</f>
        <v/>
      </c>
      <c r="G88" s="31">
        <f>MAX((80-F88)*160,0)</f>
        <v/>
      </c>
      <c r="H88" s="31">
        <f>IF(21&gt;=21,SUMPRODUCT(B68:B88+C68:C88*160)/21,0)</f>
        <v/>
      </c>
      <c r="I88" s="31">
        <f>IF(H88&gt;0,G88/H88,0)</f>
        <v/>
      </c>
    </row>
    <row r="89">
      <c r="A89" s="26" t="inlineStr">
        <is>
          <t>2026-05-19</t>
        </is>
      </c>
      <c r="B89" s="27" t="n">
        <v>535</v>
      </c>
      <c r="C89" s="27" t="n">
        <v>0</v>
      </c>
      <c r="D89" s="28">
        <f>D88+B89</f>
        <v/>
      </c>
      <c r="E89" s="28">
        <f>E88+C89</f>
        <v/>
      </c>
      <c r="F89" s="28">
        <f>D89/160+E89</f>
        <v/>
      </c>
      <c r="G89" s="28">
        <f>MAX((80-F89)*160,0)</f>
        <v/>
      </c>
      <c r="H89" s="28">
        <f>IF(21&gt;=21,SUMPRODUCT(B69:B89+C69:C89*160)/21,0)</f>
        <v/>
      </c>
      <c r="I89" s="28">
        <f>IF(H89&gt;0,G89/H89,0)</f>
        <v/>
      </c>
    </row>
    <row r="90">
      <c r="A90" s="29" t="inlineStr">
        <is>
          <t>2026-05-20</t>
        </is>
      </c>
      <c r="B90" s="30" t="n">
        <v>0</v>
      </c>
      <c r="C90" s="30" t="n">
        <v>0</v>
      </c>
      <c r="D90" s="31">
        <f>D89+B90</f>
        <v/>
      </c>
      <c r="E90" s="31">
        <f>E89+C90</f>
        <v/>
      </c>
      <c r="F90" s="31">
        <f>D90/160+E90</f>
        <v/>
      </c>
      <c r="G90" s="31">
        <f>MAX((80-F90)*160,0)</f>
        <v/>
      </c>
      <c r="H90" s="31">
        <f>IF(21&gt;=21,SUMPRODUCT(B70:B90+C70:C90*160)/21,0)</f>
        <v/>
      </c>
      <c r="I90" s="31">
        <f>IF(H90&gt;0,G90/H90,0)</f>
        <v/>
      </c>
    </row>
    <row r="91">
      <c r="A91" s="26" t="inlineStr">
        <is>
          <t>2026-05-21</t>
        </is>
      </c>
      <c r="B91" s="27" t="n">
        <v>150</v>
      </c>
      <c r="C91" s="27" t="n">
        <v>0</v>
      </c>
      <c r="D91" s="28">
        <f>D90+B91</f>
        <v/>
      </c>
      <c r="E91" s="28">
        <f>E90+C91</f>
        <v/>
      </c>
      <c r="F91" s="28">
        <f>D91/160+E91</f>
        <v/>
      </c>
      <c r="G91" s="28">
        <f>MAX((80-F91)*160,0)</f>
        <v/>
      </c>
      <c r="H91" s="28">
        <f>IF(21&gt;=21,SUMPRODUCT(B71:B91+C71:C91*160)/21,0)</f>
        <v/>
      </c>
      <c r="I91" s="28">
        <f>IF(H91&gt;0,G91/H91,0)</f>
        <v/>
      </c>
    </row>
    <row r="92">
      <c r="A92" s="29" t="inlineStr">
        <is>
          <t>2026-05-22</t>
        </is>
      </c>
      <c r="B92" s="30" t="n">
        <v>450</v>
      </c>
      <c r="C92" s="30" t="n">
        <v>0</v>
      </c>
      <c r="D92" s="31">
        <f>D91+B92</f>
        <v/>
      </c>
      <c r="E92" s="31">
        <f>E91+C92</f>
        <v/>
      </c>
      <c r="F92" s="31">
        <f>D92/160+E92</f>
        <v/>
      </c>
      <c r="G92" s="31">
        <f>MAX((80-F92)*160,0)</f>
        <v/>
      </c>
      <c r="H92" s="31">
        <f>IF(21&gt;=21,SUMPRODUCT(B72:B92+C72:C92*160)/21,0)</f>
        <v/>
      </c>
      <c r="I92" s="31">
        <f>IF(H92&gt;0,G92/H92,0)</f>
        <v/>
      </c>
    </row>
    <row r="93">
      <c r="A93" s="26" t="inlineStr">
        <is>
          <t>2026-05-23</t>
        </is>
      </c>
      <c r="B93" s="27" t="n">
        <v>150</v>
      </c>
      <c r="C93" s="27" t="n">
        <v>0</v>
      </c>
      <c r="D93" s="28">
        <f>D92+B93</f>
        <v/>
      </c>
      <c r="E93" s="28">
        <f>E92+C93</f>
        <v/>
      </c>
      <c r="F93" s="28">
        <f>D93/160+E93</f>
        <v/>
      </c>
      <c r="G93" s="28">
        <f>MAX((80-F93)*160,0)</f>
        <v/>
      </c>
      <c r="H93" s="28">
        <f>IF(21&gt;=21,SUMPRODUCT(B73:B93+C73:C93*160)/21,0)</f>
        <v/>
      </c>
      <c r="I93" s="28">
        <f>IF(H93&gt;0,G93/H93,0)</f>
        <v/>
      </c>
    </row>
    <row r="94">
      <c r="A94" s="29" t="inlineStr">
        <is>
          <t>2026-05-24</t>
        </is>
      </c>
      <c r="B94" s="30" t="n">
        <v>180</v>
      </c>
      <c r="C94" s="30" t="n">
        <v>0</v>
      </c>
      <c r="D94" s="31">
        <f>D93+B94</f>
        <v/>
      </c>
      <c r="E94" s="31">
        <f>E93+C94</f>
        <v/>
      </c>
      <c r="F94" s="31">
        <f>D94/160+E94</f>
        <v/>
      </c>
      <c r="G94" s="31">
        <f>MAX((80-F94)*160,0)</f>
        <v/>
      </c>
      <c r="H94" s="31">
        <f>IF(21&gt;=21,SUMPRODUCT(B74:B94+C74:C94*160)/21,0)</f>
        <v/>
      </c>
      <c r="I94" s="31">
        <f>IF(H94&gt;0,G94/H94,0)</f>
        <v/>
      </c>
    </row>
    <row r="95">
      <c r="A95" s="26" t="inlineStr">
        <is>
          <t>2026-05-25</t>
        </is>
      </c>
      <c r="B95" s="27" t="n">
        <v>1373</v>
      </c>
      <c r="C95" s="27" t="n">
        <v>0</v>
      </c>
      <c r="D95" s="28">
        <f>D94+B95</f>
        <v/>
      </c>
      <c r="E95" s="28">
        <f>E94+C95</f>
        <v/>
      </c>
      <c r="F95" s="28">
        <f>D95/160+E95</f>
        <v/>
      </c>
      <c r="G95" s="28">
        <f>MAX((80-F95)*160,0)</f>
        <v/>
      </c>
      <c r="H95" s="28">
        <f>IF(21&gt;=21,SUMPRODUCT(B75:B95+C75:C95*160)/21,0)</f>
        <v/>
      </c>
      <c r="I95" s="28">
        <f>IF(H95&gt;0,G95/H95,0)</f>
        <v/>
      </c>
    </row>
    <row r="96">
      <c r="A96" s="29" t="inlineStr">
        <is>
          <t>2026-05-26</t>
        </is>
      </c>
      <c r="B96" s="30" t="n">
        <v>150</v>
      </c>
      <c r="C96" s="30" t="n">
        <v>0</v>
      </c>
      <c r="D96" s="31">
        <f>D95+B96</f>
        <v/>
      </c>
      <c r="E96" s="31">
        <f>E95+C96</f>
        <v/>
      </c>
      <c r="F96" s="31">
        <f>D96/160+E96</f>
        <v/>
      </c>
      <c r="G96" s="31">
        <f>MAX((80-F96)*160,0)</f>
        <v/>
      </c>
      <c r="H96" s="31">
        <f>IF(21&gt;=21,SUMPRODUCT(B76:B96+C76:C96*160)/21,0)</f>
        <v/>
      </c>
      <c r="I96" s="31">
        <f>IF(H96&gt;0,G96/H96,0)</f>
        <v/>
      </c>
    </row>
    <row r="97">
      <c r="A97" s="26" t="inlineStr">
        <is>
          <t>2026-05-27</t>
        </is>
      </c>
      <c r="B97" s="27" t="n">
        <v>90</v>
      </c>
      <c r="C97" s="27" t="n">
        <v>0</v>
      </c>
      <c r="D97" s="28">
        <f>D96+B97</f>
        <v/>
      </c>
      <c r="E97" s="28">
        <f>E96+C97</f>
        <v/>
      </c>
      <c r="F97" s="28">
        <f>D97/160+E97</f>
        <v/>
      </c>
      <c r="G97" s="28">
        <f>MAX((80-F97)*160,0)</f>
        <v/>
      </c>
      <c r="H97" s="28">
        <f>IF(21&gt;=21,SUMPRODUCT(B77:B97+C77:C97*160)/21,0)</f>
        <v/>
      </c>
      <c r="I97" s="28">
        <f>IF(H97&gt;0,G97/H97,0)</f>
        <v/>
      </c>
    </row>
    <row r="98">
      <c r="A98" s="29" t="inlineStr">
        <is>
          <t>2026-05-28</t>
        </is>
      </c>
      <c r="B98" s="30" t="n">
        <v>150</v>
      </c>
      <c r="C98" s="30" t="n">
        <v>0</v>
      </c>
      <c r="D98" s="31">
        <f>D97+B98</f>
        <v/>
      </c>
      <c r="E98" s="31">
        <f>E97+C98</f>
        <v/>
      </c>
      <c r="F98" s="31">
        <f>D98/160+E98</f>
        <v/>
      </c>
      <c r="G98" s="31">
        <f>MAX((80-F98)*160,0)</f>
        <v/>
      </c>
      <c r="H98" s="31">
        <f>IF(21&gt;=21,SUMPRODUCT(B78:B98+C78:C98*160)/21,0)</f>
        <v/>
      </c>
      <c r="I98" s="31">
        <f>IF(H98&gt;0,G98/H98,0)</f>
        <v/>
      </c>
    </row>
    <row r="99">
      <c r="A99" s="26" t="inlineStr">
        <is>
          <t>2026-05-29</t>
        </is>
      </c>
      <c r="B99" s="27" t="n">
        <v>0</v>
      </c>
      <c r="C99" s="27" t="n">
        <v>0</v>
      </c>
      <c r="D99" s="28">
        <f>D98+B99</f>
        <v/>
      </c>
      <c r="E99" s="28">
        <f>E98+C99</f>
        <v/>
      </c>
      <c r="F99" s="28">
        <f>D99/160+E99</f>
        <v/>
      </c>
      <c r="G99" s="28">
        <f>MAX((80-F99)*160,0)</f>
        <v/>
      </c>
      <c r="H99" s="28">
        <f>IF(21&gt;=21,SUMPRODUCT(B79:B99+C79:C99*160)/21,0)</f>
        <v/>
      </c>
      <c r="I99" s="28">
        <f>IF(H99&gt;0,G99/H99,0)</f>
        <v/>
      </c>
    </row>
    <row r="100">
      <c r="A100" s="29" t="inlineStr">
        <is>
          <t>2026-05-30</t>
        </is>
      </c>
      <c r="B100" s="30" t="n">
        <v>150</v>
      </c>
      <c r="C100" s="30" t="n">
        <v>0</v>
      </c>
      <c r="D100" s="31">
        <f>D99+B100</f>
        <v/>
      </c>
      <c r="E100" s="31">
        <f>E99+C100</f>
        <v/>
      </c>
      <c r="F100" s="31">
        <f>D100/160+E100</f>
        <v/>
      </c>
      <c r="G100" s="31">
        <f>MAX((80-F100)*160,0)</f>
        <v/>
      </c>
      <c r="H100" s="31">
        <f>IF(21&gt;=21,SUMPRODUCT(B80:B100+C80:C100*160)/21,0)</f>
        <v/>
      </c>
      <c r="I100" s="31">
        <f>IF(H100&gt;0,G100/H100,0)</f>
        <v/>
      </c>
    </row>
    <row r="101">
      <c r="A101" s="26" t="inlineStr">
        <is>
          <t>2026-05-31</t>
        </is>
      </c>
      <c r="B101" s="27" t="n">
        <v>155</v>
      </c>
      <c r="C101" s="27" t="n">
        <v>0</v>
      </c>
      <c r="D101" s="28">
        <f>D100+B101</f>
        <v/>
      </c>
      <c r="E101" s="28">
        <f>E100+C101</f>
        <v/>
      </c>
      <c r="F101" s="28">
        <f>D101/160+E101</f>
        <v/>
      </c>
      <c r="G101" s="28">
        <f>MAX((80-F101)*160,0)</f>
        <v/>
      </c>
      <c r="H101" s="28">
        <f>IF(21&gt;=21,SUMPRODUCT(B81:B101+C81:C101*160)/21,0)</f>
        <v/>
      </c>
      <c r="I101" s="28">
        <f>IF(H101&gt;0,G101/H101,0)</f>
        <v/>
      </c>
    </row>
    <row r="102">
      <c r="A102" s="29" t="inlineStr">
        <is>
          <t>2026-06-01</t>
        </is>
      </c>
      <c r="B102" s="30" t="n">
        <v>155</v>
      </c>
      <c r="C102" s="30" t="n">
        <v>0</v>
      </c>
      <c r="D102" s="31">
        <f>D101+B102</f>
        <v/>
      </c>
      <c r="E102" s="31">
        <f>E101+C102</f>
        <v/>
      </c>
      <c r="F102" s="31">
        <f>D102/160+E102</f>
        <v/>
      </c>
      <c r="G102" s="31">
        <f>MAX((80-F102)*160,0)</f>
        <v/>
      </c>
      <c r="H102" s="31">
        <f>IF(21&gt;=21,SUMPRODUCT(B82:B102+C82:C102*160)/21,0)</f>
        <v/>
      </c>
      <c r="I102" s="31">
        <f>IF(H102&gt;0,G102/H102,0)</f>
        <v/>
      </c>
    </row>
    <row r="103">
      <c r="A103" s="26" t="inlineStr">
        <is>
          <t>2026-06-02</t>
        </is>
      </c>
      <c r="B103" s="27" t="n">
        <v>155</v>
      </c>
      <c r="C103" s="27" t="n">
        <v>0</v>
      </c>
      <c r="D103" s="28">
        <f>D102+B103</f>
        <v/>
      </c>
      <c r="E103" s="28">
        <f>E102+C103</f>
        <v/>
      </c>
      <c r="F103" s="28">
        <f>D103/160+E103</f>
        <v/>
      </c>
      <c r="G103" s="28">
        <f>MAX((80-F103)*160,0)</f>
        <v/>
      </c>
      <c r="H103" s="28">
        <f>IF(21&gt;=21,SUMPRODUCT(B83:B103+C83:C103*160)/21,0)</f>
        <v/>
      </c>
      <c r="I103" s="28">
        <f>IF(H103&gt;0,G103/H103,0)</f>
        <v/>
      </c>
    </row>
    <row r="104">
      <c r="A104" s="29" t="inlineStr">
        <is>
          <t>2026-06-03</t>
        </is>
      </c>
      <c r="B104" s="30" t="n">
        <v>155</v>
      </c>
      <c r="C104" s="30" t="n">
        <v>0</v>
      </c>
      <c r="D104" s="31">
        <f>D103+B104</f>
        <v/>
      </c>
      <c r="E104" s="31">
        <f>E103+C104</f>
        <v/>
      </c>
      <c r="F104" s="31">
        <f>D104/160+E104</f>
        <v/>
      </c>
      <c r="G104" s="31">
        <f>MAX((80-F104)*160,0)</f>
        <v/>
      </c>
      <c r="H104" s="31">
        <f>IF(21&gt;=21,SUMPRODUCT(B84:B104+C84:C104*160)/21,0)</f>
        <v/>
      </c>
      <c r="I104" s="31">
        <f>IF(H104&gt;0,G104/H104,0)</f>
        <v/>
      </c>
    </row>
    <row r="105">
      <c r="A105" s="26" t="inlineStr">
        <is>
          <t>2026-06-04</t>
        </is>
      </c>
      <c r="B105" s="27" t="n">
        <v>0</v>
      </c>
      <c r="C105" s="27" t="n">
        <v>0</v>
      </c>
      <c r="D105" s="28">
        <f>D104+B105</f>
        <v/>
      </c>
      <c r="E105" s="28">
        <f>E104+C105</f>
        <v/>
      </c>
      <c r="F105" s="28">
        <f>D105/160+E105</f>
        <v/>
      </c>
      <c r="G105" s="28">
        <f>MAX((80-F105)*160,0)</f>
        <v/>
      </c>
      <c r="H105" s="28">
        <f>IF(21&gt;=21,SUMPRODUCT(B85:B105+C85:C105*160)/21,0)</f>
        <v/>
      </c>
      <c r="I105" s="28">
        <f>IF(H105&gt;0,G105/H105,0)</f>
        <v/>
      </c>
    </row>
    <row r="106">
      <c r="A106" s="29" t="inlineStr">
        <is>
          <t>2026-06-05</t>
        </is>
      </c>
      <c r="B106" s="30" t="n">
        <v>155</v>
      </c>
      <c r="C106" s="30" t="n">
        <v>0</v>
      </c>
      <c r="D106" s="31">
        <f>D105+B106</f>
        <v/>
      </c>
      <c r="E106" s="31">
        <f>E105+C106</f>
        <v/>
      </c>
      <c r="F106" s="31">
        <f>D106/160+E106</f>
        <v/>
      </c>
      <c r="G106" s="31">
        <f>MAX((80-F106)*160,0)</f>
        <v/>
      </c>
      <c r="H106" s="31">
        <f>IF(21&gt;=21,SUMPRODUCT(B86:B106+C86:C106*160)/21,0)</f>
        <v/>
      </c>
      <c r="I106" s="31">
        <f>IF(H106&gt;0,G106/H106,0)</f>
        <v/>
      </c>
    </row>
    <row r="107">
      <c r="A107" s="26" t="inlineStr">
        <is>
          <t>2026-06-06</t>
        </is>
      </c>
      <c r="B107" s="27" t="n">
        <v>155</v>
      </c>
      <c r="C107" s="27" t="n">
        <v>0</v>
      </c>
      <c r="D107" s="28">
        <f>D106+B107</f>
        <v/>
      </c>
      <c r="E107" s="28">
        <f>E106+C107</f>
        <v/>
      </c>
      <c r="F107" s="28">
        <f>D107/160+E107</f>
        <v/>
      </c>
      <c r="G107" s="28">
        <f>MAX((80-F107)*160,0)</f>
        <v/>
      </c>
      <c r="H107" s="28">
        <f>IF(21&gt;=21,SUMPRODUCT(B87:B107+C87:C107*160)/21,0)</f>
        <v/>
      </c>
      <c r="I107" s="28">
        <f>IF(H107&gt;0,G107/H107,0)</f>
        <v/>
      </c>
    </row>
    <row r="108">
      <c r="A108" s="29" t="inlineStr">
        <is>
          <t>2026-06-07</t>
        </is>
      </c>
      <c r="B108" s="30" t="n">
        <v>155</v>
      </c>
      <c r="C108" s="30" t="n">
        <v>0</v>
      </c>
      <c r="D108" s="31">
        <f>D107+B108</f>
        <v/>
      </c>
      <c r="E108" s="31">
        <f>E107+C108</f>
        <v/>
      </c>
      <c r="F108" s="31">
        <f>D108/160+E108</f>
        <v/>
      </c>
      <c r="G108" s="31">
        <f>MAX((80-F108)*160,0)</f>
        <v/>
      </c>
      <c r="H108" s="31">
        <f>IF(21&gt;=21,SUMPRODUCT(B88:B108+C88:C108*160)/21,0)</f>
        <v/>
      </c>
      <c r="I108" s="31">
        <f>IF(H108&gt;0,G108/H108,0)</f>
        <v/>
      </c>
    </row>
    <row r="109">
      <c r="A109" s="26" t="inlineStr">
        <is>
          <t>2026-06-08</t>
        </is>
      </c>
      <c r="B109" s="27" t="n">
        <v>1275</v>
      </c>
      <c r="C109" s="27" t="n">
        <v>0</v>
      </c>
      <c r="D109" s="28">
        <f>D108+B109</f>
        <v/>
      </c>
      <c r="E109" s="28">
        <f>E108+C109</f>
        <v/>
      </c>
      <c r="F109" s="28">
        <f>D109/160+E109</f>
        <v/>
      </c>
      <c r="G109" s="28">
        <f>MAX((80-F109)*160,0)</f>
        <v/>
      </c>
      <c r="H109" s="28">
        <f>IF(21&gt;=21,SUMPRODUCT(B89:B109+C89:C109*160)/21,0)</f>
        <v/>
      </c>
      <c r="I109" s="28">
        <f>IF(H109&gt;0,G109/H109,0)</f>
        <v/>
      </c>
    </row>
    <row r="110">
      <c r="A110" s="29" t="inlineStr">
        <is>
          <t>2026-06-09</t>
        </is>
      </c>
      <c r="B110" s="30" t="n">
        <v>150</v>
      </c>
      <c r="C110" s="30" t="n">
        <v>0</v>
      </c>
      <c r="D110" s="31">
        <f>D109+B110</f>
        <v/>
      </c>
      <c r="E110" s="31">
        <f>E109+C110</f>
        <v/>
      </c>
      <c r="F110" s="31">
        <f>D110/160+E110</f>
        <v/>
      </c>
      <c r="G110" s="31">
        <f>MAX((80-F110)*160,0)</f>
        <v/>
      </c>
      <c r="H110" s="31">
        <f>IF(21&gt;=21,SUMPRODUCT(B90:B110+C90:C110*160)/21,0)</f>
        <v/>
      </c>
      <c r="I110" s="31">
        <f>IF(H110&gt;0,G110/H110,0)</f>
        <v/>
      </c>
    </row>
    <row r="111">
      <c r="A111" s="26" t="inlineStr">
        <is>
          <t>2026-06-10</t>
        </is>
      </c>
      <c r="B111" s="27" t="n">
        <v>205</v>
      </c>
      <c r="C111" s="27" t="n">
        <v>0</v>
      </c>
      <c r="D111" s="28">
        <f>D110+B111</f>
        <v/>
      </c>
      <c r="E111" s="28">
        <f>E110+C111</f>
        <v/>
      </c>
      <c r="F111" s="28">
        <f>D111/160+E111</f>
        <v/>
      </c>
      <c r="G111" s="28">
        <f>MAX((80-F111)*160,0)</f>
        <v/>
      </c>
      <c r="H111" s="28">
        <f>IF(21&gt;=21,SUMPRODUCT(B91:B111+C91:C111*160)/21,0)</f>
        <v/>
      </c>
      <c r="I111" s="28">
        <f>IF(H111&gt;0,G111/H111,0)</f>
        <v/>
      </c>
    </row>
    <row r="112">
      <c r="A112" s="29" t="inlineStr">
        <is>
          <t>2026-06-11</t>
        </is>
      </c>
      <c r="B112" s="30" t="n">
        <v>185</v>
      </c>
      <c r="C112" s="30" t="n">
        <v>0</v>
      </c>
      <c r="D112" s="31">
        <f>D111+B112</f>
        <v/>
      </c>
      <c r="E112" s="31">
        <f>E111+C112</f>
        <v/>
      </c>
      <c r="F112" s="31">
        <f>D112/160+E112</f>
        <v/>
      </c>
      <c r="G112" s="31">
        <f>MAX((80-F112)*160,0)</f>
        <v/>
      </c>
      <c r="H112" s="31">
        <f>IF(21&gt;=21,SUMPRODUCT(B92:B112+C92:C112*160)/21,0)</f>
        <v/>
      </c>
      <c r="I112" s="31">
        <f>IF(H112&gt;0,G112/H112,0)</f>
        <v/>
      </c>
    </row>
    <row r="113">
      <c r="A113" s="26" t="inlineStr">
        <is>
          <t>2026-06-12</t>
        </is>
      </c>
      <c r="B113" s="27" t="n">
        <v>150</v>
      </c>
      <c r="C113" s="27" t="n">
        <v>0</v>
      </c>
      <c r="D113" s="28">
        <f>D112+B113</f>
        <v/>
      </c>
      <c r="E113" s="28">
        <f>E112+C113</f>
        <v/>
      </c>
      <c r="F113" s="28">
        <f>D113/160+E113</f>
        <v/>
      </c>
      <c r="G113" s="28">
        <f>MAX((80-F113)*160,0)</f>
        <v/>
      </c>
      <c r="H113" s="28">
        <f>IF(21&gt;=21,SUMPRODUCT(B93:B113+C93:C113*160)/21,0)</f>
        <v/>
      </c>
      <c r="I113" s="28">
        <f>IF(H113&gt;0,G113/H113,0)</f>
        <v/>
      </c>
    </row>
    <row r="114">
      <c r="A114" s="29" t="inlineStr">
        <is>
          <t>2026-06-13</t>
        </is>
      </c>
      <c r="B114" s="30" t="n">
        <v>150</v>
      </c>
      <c r="C114" s="30" t="n">
        <v>0</v>
      </c>
      <c r="D114" s="31">
        <f>D113+B114</f>
        <v/>
      </c>
      <c r="E114" s="31">
        <f>E113+C114</f>
        <v/>
      </c>
      <c r="F114" s="31">
        <f>D114/160+E114</f>
        <v/>
      </c>
      <c r="G114" s="31">
        <f>MAX((80-F114)*160,0)</f>
        <v/>
      </c>
      <c r="H114" s="31">
        <f>IF(21&gt;=21,SUMPRODUCT(B94:B114+C94:C114*160)/21,0)</f>
        <v/>
      </c>
      <c r="I114" s="31">
        <f>IF(H114&gt;0,G114/H114,0)</f>
        <v/>
      </c>
    </row>
    <row r="115">
      <c r="A115" s="26" t="inlineStr">
        <is>
          <t>2026-06-14</t>
        </is>
      </c>
      <c r="B115" s="27" t="n">
        <v>150</v>
      </c>
      <c r="C115" s="27" t="n">
        <v>0</v>
      </c>
      <c r="D115" s="28">
        <f>D114+B115</f>
        <v/>
      </c>
      <c r="E115" s="28">
        <f>E114+C115</f>
        <v/>
      </c>
      <c r="F115" s="28">
        <f>D115/160+E115</f>
        <v/>
      </c>
      <c r="G115" s="28">
        <f>MAX((80-F115)*160,0)</f>
        <v/>
      </c>
      <c r="H115" s="28">
        <f>IF(21&gt;=21,SUMPRODUCT(B95:B115+C95:C115*160)/21,0)</f>
        <v/>
      </c>
      <c r="I115" s="28">
        <f>IF(H115&gt;0,G115/H115,0)</f>
        <v/>
      </c>
    </row>
    <row r="116">
      <c r="A116" s="29" t="inlineStr">
        <is>
          <t>2026-06-15</t>
        </is>
      </c>
      <c r="B116" s="30" t="n">
        <v>495</v>
      </c>
      <c r="C116" s="30" t="n">
        <v>0</v>
      </c>
      <c r="D116" s="31">
        <f>D115+B116</f>
        <v/>
      </c>
      <c r="E116" s="31">
        <f>E115+C116</f>
        <v/>
      </c>
      <c r="F116" s="31">
        <f>D116/160+E116</f>
        <v/>
      </c>
      <c r="G116" s="31">
        <f>MAX((80-F116)*160,0)</f>
        <v/>
      </c>
      <c r="H116" s="31">
        <f>IF(21&gt;=21,SUMPRODUCT(B96:B116+C96:C116*160)/21,0)</f>
        <v/>
      </c>
      <c r="I116" s="31">
        <f>IF(H116&gt;0,G116/H116,0)</f>
        <v/>
      </c>
    </row>
    <row r="117">
      <c r="A117" s="26" t="inlineStr">
        <is>
          <t>2026-06-16</t>
        </is>
      </c>
      <c r="B117" s="27" t="n">
        <v>150</v>
      </c>
      <c r="C117" s="27" t="n">
        <v>0</v>
      </c>
      <c r="D117" s="28">
        <f>D116+B117</f>
        <v/>
      </c>
      <c r="E117" s="28">
        <f>E116+C117</f>
        <v/>
      </c>
      <c r="F117" s="28">
        <f>D117/160+E117</f>
        <v/>
      </c>
      <c r="G117" s="28">
        <f>MAX((80-F117)*160,0)</f>
        <v/>
      </c>
      <c r="H117" s="28">
        <f>IF(21&gt;=21,SUMPRODUCT(B97:B117+C97:C117*160)/21,0)</f>
        <v/>
      </c>
      <c r="I117" s="28">
        <f>IF(H117&gt;0,G117/H117,0)</f>
        <v/>
      </c>
    </row>
    <row r="118">
      <c r="A118" s="29" t="inlineStr">
        <is>
          <t>2026-06-17</t>
        </is>
      </c>
      <c r="B118" s="30" t="n">
        <v>90</v>
      </c>
      <c r="C118" s="30" t="n">
        <v>0</v>
      </c>
      <c r="D118" s="31">
        <f>D117+B118</f>
        <v/>
      </c>
      <c r="E118" s="31">
        <f>E117+C118</f>
        <v/>
      </c>
      <c r="F118" s="31">
        <f>D118/160+E118</f>
        <v/>
      </c>
      <c r="G118" s="31">
        <f>MAX((80-F118)*160,0)</f>
        <v/>
      </c>
      <c r="H118" s="31">
        <f>IF(21&gt;=21,SUMPRODUCT(B98:B118+C98:C118*160)/21,0)</f>
        <v/>
      </c>
      <c r="I118" s="31">
        <f>IF(H118&gt;0,G118/H118,0)</f>
        <v/>
      </c>
    </row>
    <row r="119">
      <c r="A119" s="26" t="inlineStr">
        <is>
          <t>2026-06-18</t>
        </is>
      </c>
      <c r="B119" s="27" t="n">
        <v>150</v>
      </c>
      <c r="C119" s="27" t="n">
        <v>0</v>
      </c>
      <c r="D119" s="28">
        <f>D118+B119</f>
        <v/>
      </c>
      <c r="E119" s="28">
        <f>E118+C119</f>
        <v/>
      </c>
      <c r="F119" s="28">
        <f>D119/160+E119</f>
        <v/>
      </c>
      <c r="G119" s="28">
        <f>MAX((80-F119)*160,0)</f>
        <v/>
      </c>
      <c r="H119" s="28">
        <f>IF(21&gt;=21,SUMPRODUCT(B99:B119+C99:C119*160)/21,0)</f>
        <v/>
      </c>
      <c r="I119" s="28">
        <f>IF(H119&gt;0,G119/H119,0)</f>
        <v/>
      </c>
    </row>
    <row r="120">
      <c r="A120" s="29" t="inlineStr">
        <is>
          <t>2026-06-19</t>
        </is>
      </c>
      <c r="B120" s="30" t="n">
        <v>240</v>
      </c>
      <c r="C120" s="30" t="n">
        <v>0</v>
      </c>
      <c r="D120" s="31">
        <f>D119+B120</f>
        <v/>
      </c>
      <c r="E120" s="31">
        <f>E119+C120</f>
        <v/>
      </c>
      <c r="F120" s="31">
        <f>D120/160+E120</f>
        <v/>
      </c>
      <c r="G120" s="31">
        <f>MAX((80-F120)*160,0)</f>
        <v/>
      </c>
      <c r="H120" s="31">
        <f>IF(21&gt;=21,SUMPRODUCT(B100:B120+C100:C120*160)/21,0)</f>
        <v/>
      </c>
      <c r="I120" s="31">
        <f>IF(H120&gt;0,G120/H120,0)</f>
        <v/>
      </c>
    </row>
    <row r="121">
      <c r="A121" s="26" t="inlineStr">
        <is>
          <t>2026-06-20</t>
        </is>
      </c>
      <c r="B121" s="27" t="n">
        <v>150</v>
      </c>
      <c r="C121" s="27" t="n">
        <v>0</v>
      </c>
      <c r="D121" s="28">
        <f>D120+B121</f>
        <v/>
      </c>
      <c r="E121" s="28">
        <f>E120+C121</f>
        <v/>
      </c>
      <c r="F121" s="28">
        <f>D121/160+E121</f>
        <v/>
      </c>
      <c r="G121" s="28">
        <f>MAX((80-F121)*160,0)</f>
        <v/>
      </c>
      <c r="H121" s="28">
        <f>IF(21&gt;=21,SUMPRODUCT(B101:B121+C101:C121*160)/21,0)</f>
        <v/>
      </c>
      <c r="I121" s="28">
        <f>IF(H121&gt;0,G121/H121,0)</f>
        <v/>
      </c>
    </row>
    <row r="122">
      <c r="A122" s="29" t="inlineStr">
        <is>
          <t>2026-06-21</t>
        </is>
      </c>
      <c r="B122" s="30" t="n">
        <v>150</v>
      </c>
      <c r="C122" s="30" t="n">
        <v>0</v>
      </c>
      <c r="D122" s="31">
        <f>D121+B122</f>
        <v/>
      </c>
      <c r="E122" s="31">
        <f>E121+C122</f>
        <v/>
      </c>
      <c r="F122" s="31">
        <f>D122/160+E122</f>
        <v/>
      </c>
      <c r="G122" s="31">
        <f>MAX((80-F122)*160,0)</f>
        <v/>
      </c>
      <c r="H122" s="31">
        <f>IF(21&gt;=21,SUMPRODUCT(B102:B122+C102:C122*160)/21,0)</f>
        <v/>
      </c>
      <c r="I122" s="31">
        <f>IF(H122&gt;0,G122/H122,0)</f>
        <v/>
      </c>
    </row>
    <row r="123">
      <c r="A123" s="26" t="inlineStr">
        <is>
          <t>2026-06-22</t>
        </is>
      </c>
      <c r="B123" s="27" t="n">
        <v>1275</v>
      </c>
      <c r="C123" s="27" t="n">
        <v>0</v>
      </c>
      <c r="D123" s="28">
        <f>D122+B123</f>
        <v/>
      </c>
      <c r="E123" s="28">
        <f>E122+C123</f>
        <v/>
      </c>
      <c r="F123" s="28">
        <f>D123/160+E123</f>
        <v/>
      </c>
      <c r="G123" s="28">
        <f>MAX((80-F123)*160,0)</f>
        <v/>
      </c>
      <c r="H123" s="28">
        <f>IF(21&gt;=21,SUMPRODUCT(B103:B123+C103:C123*160)/21,0)</f>
        <v/>
      </c>
      <c r="I123" s="28">
        <f>IF(H123&gt;0,G123/H123,0)</f>
        <v/>
      </c>
    </row>
    <row r="124">
      <c r="A124" s="29" t="inlineStr">
        <is>
          <t>2026-06-23</t>
        </is>
      </c>
      <c r="B124" s="30" t="n">
        <v>150</v>
      </c>
      <c r="C124" s="30" t="n">
        <v>0</v>
      </c>
      <c r="D124" s="31">
        <f>D123+B124</f>
        <v/>
      </c>
      <c r="E124" s="31">
        <f>E123+C124</f>
        <v/>
      </c>
      <c r="F124" s="31">
        <f>D124/160+E124</f>
        <v/>
      </c>
      <c r="G124" s="31">
        <f>MAX((80-F124)*160,0)</f>
        <v/>
      </c>
      <c r="H124" s="31">
        <f>IF(21&gt;=21,SUMPRODUCT(B104:B124+C104:C124*160)/21,0)</f>
        <v/>
      </c>
      <c r="I124" s="31">
        <f>IF(H124&gt;0,G124/H124,0)</f>
        <v/>
      </c>
    </row>
    <row r="125">
      <c r="A125" s="26" t="inlineStr">
        <is>
          <t>2026-06-24</t>
        </is>
      </c>
      <c r="B125" s="27" t="n">
        <v>150</v>
      </c>
      <c r="C125" s="27" t="n">
        <v>0</v>
      </c>
      <c r="D125" s="28">
        <f>D124+B125</f>
        <v/>
      </c>
      <c r="E125" s="28">
        <f>E124+C125</f>
        <v/>
      </c>
      <c r="F125" s="28">
        <f>D125/160+E125</f>
        <v/>
      </c>
      <c r="G125" s="28">
        <f>MAX((80-F125)*160,0)</f>
        <v/>
      </c>
      <c r="H125" s="28">
        <f>IF(21&gt;=21,SUMPRODUCT(B105:B125+C105:C125*160)/21,0)</f>
        <v/>
      </c>
      <c r="I125" s="28">
        <f>IF(H125&gt;0,G125/H125,0)</f>
        <v/>
      </c>
    </row>
    <row r="126">
      <c r="A126" s="29" t="inlineStr">
        <is>
          <t>2026-06-25</t>
        </is>
      </c>
      <c r="B126" s="30" t="n">
        <v>350</v>
      </c>
      <c r="C126" s="30" t="n">
        <v>0</v>
      </c>
      <c r="D126" s="31">
        <f>D125+B126</f>
        <v/>
      </c>
      <c r="E126" s="31">
        <f>E125+C126</f>
        <v/>
      </c>
      <c r="F126" s="31">
        <f>D126/160+E126</f>
        <v/>
      </c>
      <c r="G126" s="31">
        <f>MAX((80-F126)*160,0)</f>
        <v/>
      </c>
      <c r="H126" s="31">
        <f>IF(21&gt;=21,SUMPRODUCT(B106:B126+C106:C126*160)/21,0)</f>
        <v/>
      </c>
      <c r="I126" s="31">
        <f>IF(H126&gt;0,G126/H126,0)</f>
        <v/>
      </c>
    </row>
    <row r="127">
      <c r="A127" s="26" t="inlineStr">
        <is>
          <t>2026-06-26</t>
        </is>
      </c>
      <c r="B127" s="27" t="n">
        <v>150</v>
      </c>
      <c r="C127" s="27" t="n">
        <v>0</v>
      </c>
      <c r="D127" s="28">
        <f>D126+B127</f>
        <v/>
      </c>
      <c r="E127" s="28">
        <f>E126+C127</f>
        <v/>
      </c>
      <c r="F127" s="28">
        <f>D127/160+E127</f>
        <v/>
      </c>
      <c r="G127" s="28">
        <f>MAX((80-F127)*160,0)</f>
        <v/>
      </c>
      <c r="H127" s="28">
        <f>IF(21&gt;=21,SUMPRODUCT(B107:B127+C107:C127*160)/21,0)</f>
        <v/>
      </c>
      <c r="I127" s="28">
        <f>IF(H127&gt;0,G127/H127,0)</f>
        <v/>
      </c>
    </row>
    <row r="128">
      <c r="A128" s="29" t="inlineStr">
        <is>
          <t>2026-06-27</t>
        </is>
      </c>
      <c r="B128" s="30" t="n">
        <v>150</v>
      </c>
      <c r="C128" s="30" t="n">
        <v>0</v>
      </c>
      <c r="D128" s="31">
        <f>D127+B128</f>
        <v/>
      </c>
      <c r="E128" s="31">
        <f>E127+C128</f>
        <v/>
      </c>
      <c r="F128" s="31">
        <f>D128/160+E128</f>
        <v/>
      </c>
      <c r="G128" s="31">
        <f>MAX((80-F128)*160,0)</f>
        <v/>
      </c>
      <c r="H128" s="31">
        <f>IF(21&gt;=21,SUMPRODUCT(B108:B128+C108:C128*160)/21,0)</f>
        <v/>
      </c>
      <c r="I128" s="31">
        <f>IF(H128&gt;0,G128/H128,0)</f>
        <v/>
      </c>
    </row>
    <row r="129">
      <c r="A129" s="26" t="inlineStr">
        <is>
          <t>2026-06-28</t>
        </is>
      </c>
      <c r="B129" s="27" t="n">
        <v>150</v>
      </c>
      <c r="C129" s="27" t="n">
        <v>0</v>
      </c>
      <c r="D129" s="28">
        <f>D128+B129</f>
        <v/>
      </c>
      <c r="E129" s="28">
        <f>E128+C129</f>
        <v/>
      </c>
      <c r="F129" s="28">
        <f>D129/160+E129</f>
        <v/>
      </c>
      <c r="G129" s="28">
        <f>MAX((80-F129)*160,0)</f>
        <v/>
      </c>
      <c r="H129" s="28">
        <f>IF(21&gt;=21,SUMPRODUCT(B109:B129+C109:C129*160)/21,0)</f>
        <v/>
      </c>
      <c r="I129" s="28">
        <f>IF(H129&gt;0,G129/H129,0)</f>
        <v/>
      </c>
    </row>
    <row r="130">
      <c r="A130" s="29" t="inlineStr">
        <is>
          <t>2026-06-29</t>
        </is>
      </c>
      <c r="B130" s="30" t="n">
        <v>495</v>
      </c>
      <c r="C130" s="30" t="n">
        <v>0</v>
      </c>
      <c r="D130" s="31">
        <f>D129+B130</f>
        <v/>
      </c>
      <c r="E130" s="31">
        <f>E129+C130</f>
        <v/>
      </c>
      <c r="F130" s="31">
        <f>D130/160+E130</f>
        <v/>
      </c>
      <c r="G130" s="31">
        <f>MAX((80-F130)*160,0)</f>
        <v/>
      </c>
      <c r="H130" s="31">
        <f>IF(21&gt;=21,SUMPRODUCT(B110:B130+C110:C130*160)/21,0)</f>
        <v/>
      </c>
      <c r="I130" s="31">
        <f>IF(H130&gt;0,G130/H130,0)</f>
        <v/>
      </c>
    </row>
    <row r="131">
      <c r="A131" s="26" t="inlineStr">
        <is>
          <t>2026-06-30</t>
        </is>
      </c>
      <c r="B131" s="27" t="n">
        <v>150</v>
      </c>
      <c r="C131" s="27" t="n">
        <v>0</v>
      </c>
      <c r="D131" s="28">
        <f>D130+B131</f>
        <v/>
      </c>
      <c r="E131" s="28">
        <f>E130+C131</f>
        <v/>
      </c>
      <c r="F131" s="28">
        <f>D131/160+E131</f>
        <v/>
      </c>
      <c r="G131" s="28">
        <f>MAX((80-F131)*160,0)</f>
        <v/>
      </c>
      <c r="H131" s="28">
        <f>IF(21&gt;=21,SUMPRODUCT(B111:B131+C111:C131*160)/21,0)</f>
        <v/>
      </c>
      <c r="I131" s="28">
        <f>IF(H131&gt;0,G131/H131,0)</f>
        <v/>
      </c>
    </row>
    <row r="132">
      <c r="A132" s="29" t="inlineStr">
        <is>
          <t>2026-07-01</t>
        </is>
      </c>
      <c r="B132" s="30" t="n">
        <v>360</v>
      </c>
      <c r="C132" s="30" t="n">
        <v>0</v>
      </c>
      <c r="D132" s="31">
        <f>D131+B132</f>
        <v/>
      </c>
      <c r="E132" s="31">
        <f>E131+C132</f>
        <v/>
      </c>
      <c r="F132" s="31">
        <f>D132/160+E132</f>
        <v/>
      </c>
      <c r="G132" s="31">
        <f>MAX((80-F132)*160,0)</f>
        <v/>
      </c>
      <c r="H132" s="31">
        <f>IF(21&gt;=21,SUMPRODUCT(B112:B132+C112:C132*160)/21,0)</f>
        <v/>
      </c>
      <c r="I132" s="31">
        <f>IF(H132&gt;0,G132/H132,0)</f>
        <v/>
      </c>
    </row>
    <row r="133">
      <c r="A133" s="26" t="inlineStr">
        <is>
          <t>2026-07-02</t>
        </is>
      </c>
      <c r="B133" s="27" t="n">
        <v>150</v>
      </c>
      <c r="C133" s="27" t="n">
        <v>0</v>
      </c>
      <c r="D133" s="28">
        <f>D132+B133</f>
        <v/>
      </c>
      <c r="E133" s="28">
        <f>E132+C133</f>
        <v/>
      </c>
      <c r="F133" s="28">
        <f>D133/160+E133</f>
        <v/>
      </c>
      <c r="G133" s="28">
        <f>MAX((80-F133)*160,0)</f>
        <v/>
      </c>
      <c r="H133" s="28">
        <f>IF(21&gt;=21,SUMPRODUCT(B113:B133+C113:C133*160)/21,0)</f>
        <v/>
      </c>
      <c r="I133" s="28">
        <f>IF(H133&gt;0,G133/H133,0)</f>
        <v/>
      </c>
    </row>
    <row r="134">
      <c r="A134" s="29" t="inlineStr">
        <is>
          <t>2026-07-03</t>
        </is>
      </c>
      <c r="B134" s="30" t="n">
        <v>450</v>
      </c>
      <c r="C134" s="30" t="n">
        <v>0</v>
      </c>
      <c r="D134" s="31">
        <f>D133+B134</f>
        <v/>
      </c>
      <c r="E134" s="31">
        <f>E133+C134</f>
        <v/>
      </c>
      <c r="F134" s="31">
        <f>D134/160+E134</f>
        <v/>
      </c>
      <c r="G134" s="31">
        <f>MAX((80-F134)*160,0)</f>
        <v/>
      </c>
      <c r="H134" s="31">
        <f>IF(21&gt;=21,SUMPRODUCT(B114:B134+C114:C134*160)/21,0)</f>
        <v/>
      </c>
      <c r="I134" s="31">
        <f>IF(H134&gt;0,G134/H134,0)</f>
        <v/>
      </c>
    </row>
    <row r="135">
      <c r="A135" s="26" t="inlineStr">
        <is>
          <t>2026-07-04</t>
        </is>
      </c>
      <c r="B135" s="27" t="n">
        <v>150</v>
      </c>
      <c r="C135" s="27" t="n">
        <v>0</v>
      </c>
      <c r="D135" s="28">
        <f>D134+B135</f>
        <v/>
      </c>
      <c r="E135" s="28">
        <f>E134+C135</f>
        <v/>
      </c>
      <c r="F135" s="28">
        <f>D135/160+E135</f>
        <v/>
      </c>
      <c r="G135" s="28">
        <f>MAX((80-F135)*160,0)</f>
        <v/>
      </c>
      <c r="H135" s="28">
        <f>IF(21&gt;=21,SUMPRODUCT(B115:B135+C115:C135*160)/21,0)</f>
        <v/>
      </c>
      <c r="I135" s="28">
        <f>IF(H135&gt;0,G135/H135,0)</f>
        <v/>
      </c>
    </row>
    <row r="136">
      <c r="A136" s="29" t="inlineStr">
        <is>
          <t>2026-07-05</t>
        </is>
      </c>
      <c r="B136" s="30" t="n">
        <v>170</v>
      </c>
      <c r="C136" s="30" t="n">
        <v>0</v>
      </c>
      <c r="D136" s="31">
        <f>D135+B136</f>
        <v/>
      </c>
      <c r="E136" s="31">
        <f>E135+C136</f>
        <v/>
      </c>
      <c r="F136" s="31">
        <f>D136/160+E136</f>
        <v/>
      </c>
      <c r="G136" s="31">
        <f>MAX((80-F136)*160,0)</f>
        <v/>
      </c>
      <c r="H136" s="31">
        <f>IF(21&gt;=21,SUMPRODUCT(B116:B136+C116:C136*160)/21,0)</f>
        <v/>
      </c>
      <c r="I136" s="31">
        <f>IF(H136&gt;0,G136/H136,0)</f>
        <v/>
      </c>
    </row>
    <row r="137">
      <c r="A137" s="26" t="inlineStr">
        <is>
          <t>2026-07-06</t>
        </is>
      </c>
      <c r="B137" s="27" t="n">
        <v>870</v>
      </c>
      <c r="C137" s="27" t="n">
        <v>0</v>
      </c>
      <c r="D137" s="28">
        <f>D136+B137</f>
        <v/>
      </c>
      <c r="E137" s="28">
        <f>E136+C137</f>
        <v/>
      </c>
      <c r="F137" s="28">
        <f>D137/160+E137</f>
        <v/>
      </c>
      <c r="G137" s="28">
        <f>MAX((80-F137)*160,0)</f>
        <v/>
      </c>
      <c r="H137" s="28">
        <f>IF(21&gt;=21,SUMPRODUCT(B117:B137+C117:C137*160)/21,0)</f>
        <v/>
      </c>
      <c r="I137" s="28">
        <f>IF(H137&gt;0,G137/H137,0)</f>
        <v/>
      </c>
    </row>
    <row r="138">
      <c r="A138" s="29" t="inlineStr">
        <is>
          <t>2026-07-07</t>
        </is>
      </c>
      <c r="B138" s="30" t="n">
        <v>155</v>
      </c>
      <c r="C138" s="30" t="n">
        <v>0</v>
      </c>
      <c r="D138" s="31">
        <f>D137+B138</f>
        <v/>
      </c>
      <c r="E138" s="31">
        <f>E137+C138</f>
        <v/>
      </c>
      <c r="F138" s="31">
        <f>D138/160+E138</f>
        <v/>
      </c>
      <c r="G138" s="31">
        <f>MAX((80-F138)*160,0)</f>
        <v/>
      </c>
      <c r="H138" s="31">
        <f>IF(21&gt;=21,SUMPRODUCT(B118:B138+C118:C138*160)/21,0)</f>
        <v/>
      </c>
      <c r="I138" s="31">
        <f>IF(H138&gt;0,G138/H138,0)</f>
        <v/>
      </c>
    </row>
    <row r="139">
      <c r="A139" s="26" t="inlineStr">
        <is>
          <t>2026-07-08</t>
        </is>
      </c>
      <c r="B139" s="27" t="n">
        <v>150</v>
      </c>
      <c r="C139" s="27" t="n">
        <v>0</v>
      </c>
      <c r="D139" s="28">
        <f>D138+B139</f>
        <v/>
      </c>
      <c r="E139" s="28">
        <f>E138+C139</f>
        <v/>
      </c>
      <c r="F139" s="28">
        <f>D139/160+E139</f>
        <v/>
      </c>
      <c r="G139" s="28">
        <f>MAX((80-F139)*160,0)</f>
        <v/>
      </c>
      <c r="H139" s="28">
        <f>IF(21&gt;=21,SUMPRODUCT(B119:B139+C119:C139*160)/21,0)</f>
        <v/>
      </c>
      <c r="I139" s="28">
        <f>IF(H139&gt;0,G139/H139,0)</f>
        <v/>
      </c>
    </row>
    <row r="140">
      <c r="A140" s="29" t="inlineStr">
        <is>
          <t>2026-07-09</t>
        </is>
      </c>
      <c r="B140" s="30" t="n">
        <v>150</v>
      </c>
      <c r="C140" s="30" t="n">
        <v>0</v>
      </c>
      <c r="D140" s="31">
        <f>D139+B140</f>
        <v/>
      </c>
      <c r="E140" s="31">
        <f>E139+C140</f>
        <v/>
      </c>
      <c r="F140" s="31">
        <f>D140/160+E140</f>
        <v/>
      </c>
      <c r="G140" s="31">
        <f>MAX((80-F140)*160,0)</f>
        <v/>
      </c>
      <c r="H140" s="31">
        <f>IF(21&gt;=21,SUMPRODUCT(B120:B140+C120:C140*160)/21,0)</f>
        <v/>
      </c>
      <c r="I140" s="31">
        <f>IF(H140&gt;0,G140/H140,0)</f>
        <v/>
      </c>
    </row>
    <row r="141">
      <c r="A141" s="26" t="inlineStr">
        <is>
          <t>2026-07-10</t>
        </is>
      </c>
      <c r="B141" s="27" t="n">
        <v>150</v>
      </c>
      <c r="C141" s="27" t="n">
        <v>0</v>
      </c>
      <c r="D141" s="28">
        <f>D140+B141</f>
        <v/>
      </c>
      <c r="E141" s="28">
        <f>E140+C141</f>
        <v/>
      </c>
      <c r="F141" s="28">
        <f>D141/160+E141</f>
        <v/>
      </c>
      <c r="G141" s="28">
        <f>MAX((80-F141)*160,0)</f>
        <v/>
      </c>
      <c r="H141" s="28">
        <f>IF(21&gt;=21,SUMPRODUCT(B121:B141+C121:C141*160)/21,0)</f>
        <v/>
      </c>
      <c r="I141" s="28">
        <f>IF(H141&gt;0,G141/H141,0)</f>
        <v/>
      </c>
    </row>
    <row r="142">
      <c r="A142" s="29" t="inlineStr">
        <is>
          <t>2026-07-11</t>
        </is>
      </c>
      <c r="B142" s="30" t="n">
        <v>150</v>
      </c>
      <c r="C142" s="30" t="n">
        <v>0</v>
      </c>
      <c r="D142" s="31">
        <f>D141+B142</f>
        <v/>
      </c>
      <c r="E142" s="31">
        <f>E141+C142</f>
        <v/>
      </c>
      <c r="F142" s="31">
        <f>D142/160+E142</f>
        <v/>
      </c>
      <c r="G142" s="31">
        <f>MAX((80-F142)*160,0)</f>
        <v/>
      </c>
      <c r="H142" s="31">
        <f>IF(21&gt;=21,SUMPRODUCT(B122:B142+C122:C142*160)/21,0)</f>
        <v/>
      </c>
      <c r="I142" s="31">
        <f>IF(H142&gt;0,G142/H142,0)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2026-03-22T04:05:24Z</dcterms:created>
  <dcterms:modified xsi:type="dcterms:W3CDTF">2026-07-11T18:12:58Z</dcterms:modified>
  <cp:lastModifiedBy>Rianna Santra</cp:lastModifiedBy>
</cp:coreProperties>
</file>