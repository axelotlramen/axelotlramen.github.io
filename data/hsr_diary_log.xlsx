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  <row r="174">
      <c r="A174" s="29" t="inlineStr">
        <is>
          <t>2026-08-12</t>
        </is>
      </c>
      <c r="B174" s="30" t="n">
        <v>170</v>
      </c>
      <c r="C174" s="30" t="n">
        <v>0</v>
      </c>
      <c r="D174" s="31">
        <f>D173+B174</f>
        <v/>
      </c>
      <c r="E174" s="31">
        <f>E173+C174</f>
        <v/>
      </c>
      <c r="F174" s="31">
        <f>D174/160+E174</f>
        <v/>
      </c>
      <c r="G174" s="31">
        <f>MAX((80-F174)*160,0)</f>
        <v/>
      </c>
      <c r="H174" s="31">
        <f>IF(21&gt;=21,SUMPRODUCT(B154:B174+C154:C174*160)/21,0)</f>
        <v/>
      </c>
      <c r="I174" s="31">
        <f>IF(H174&gt;0,G174/H174,0)</f>
        <v/>
      </c>
    </row>
    <row r="175">
      <c r="A175" s="26" t="inlineStr">
        <is>
          <t>2026-08-13</t>
        </is>
      </c>
      <c r="B175" s="27" t="n">
        <v>0</v>
      </c>
      <c r="C175" s="27" t="n">
        <v>0</v>
      </c>
      <c r="D175" s="28">
        <f>D174+B175</f>
        <v/>
      </c>
      <c r="E175" s="28">
        <f>E174+C175</f>
        <v/>
      </c>
      <c r="F175" s="28">
        <f>D175/160+E175</f>
        <v/>
      </c>
      <c r="G175" s="28">
        <f>MAX((80-F175)*160,0)</f>
        <v/>
      </c>
      <c r="H175" s="28">
        <f>IF(21&gt;=21,SUMPRODUCT(B155:B175+C155:C175*160)/21,0)</f>
        <v/>
      </c>
      <c r="I175" s="28">
        <f>IF(H175&gt;0,G175/H175,0)</f>
        <v/>
      </c>
    </row>
    <row r="176">
      <c r="A176" s="29" t="inlineStr">
        <is>
          <t>2026-08-14</t>
        </is>
      </c>
      <c r="B176" s="30" t="n">
        <v>100</v>
      </c>
      <c r="C176" s="30" t="n">
        <v>0</v>
      </c>
      <c r="D176" s="31">
        <f>D175+B176</f>
        <v/>
      </c>
      <c r="E176" s="31">
        <f>E175+C176</f>
        <v/>
      </c>
      <c r="F176" s="31">
        <f>D176/160+E176</f>
        <v/>
      </c>
      <c r="G176" s="31">
        <f>MAX((80-F176)*160,0)</f>
        <v/>
      </c>
      <c r="H176" s="31">
        <f>IF(21&gt;=21,SUMPRODUCT(B156:B176+C156:C176*160)/21,0)</f>
        <v/>
      </c>
      <c r="I176" s="31">
        <f>IF(H176&gt;0,G176/H176,0)</f>
        <v/>
      </c>
    </row>
    <row r="177">
      <c r="A177" s="26" t="inlineStr">
        <is>
          <t>2026-08-15</t>
        </is>
      </c>
      <c r="B177" s="27" t="n">
        <v>0</v>
      </c>
      <c r="C177" s="27" t="n">
        <v>0</v>
      </c>
      <c r="D177" s="28">
        <f>D176+B177</f>
        <v/>
      </c>
      <c r="E177" s="28">
        <f>E176+C177</f>
        <v/>
      </c>
      <c r="F177" s="28">
        <f>D177/160+E177</f>
        <v/>
      </c>
      <c r="G177" s="28">
        <f>MAX((80-F177)*160,0)</f>
        <v/>
      </c>
      <c r="H177" s="28">
        <f>IF(21&gt;=21,SUMPRODUCT(B157:B177+C157:C177*160)/21,0)</f>
        <v/>
      </c>
      <c r="I177" s="28">
        <f>IF(H177&gt;0,G177/H177,0)</f>
        <v/>
      </c>
    </row>
    <row r="178">
      <c r="A178" s="29" t="inlineStr">
        <is>
          <t>2026-08-16</t>
        </is>
      </c>
      <c r="B178" s="30" t="n">
        <v>200</v>
      </c>
      <c r="C178" s="30" t="n">
        <v>0</v>
      </c>
      <c r="D178" s="31">
        <f>D177+B178</f>
        <v/>
      </c>
      <c r="E178" s="31">
        <f>E177+C178</f>
        <v/>
      </c>
      <c r="F178" s="31">
        <f>D178/160+E178</f>
        <v/>
      </c>
      <c r="G178" s="31">
        <f>MAX((80-F178)*160,0)</f>
        <v/>
      </c>
      <c r="H178" s="31">
        <f>IF(21&gt;=21,SUMPRODUCT(B158:B178+C158:C178*160)/21,0)</f>
        <v/>
      </c>
      <c r="I178" s="31">
        <f>IF(H178&gt;0,G178/H178,0)</f>
        <v/>
      </c>
    </row>
    <row r="179">
      <c r="A179" s="26" t="inlineStr">
        <is>
          <t>2026-08-17</t>
        </is>
      </c>
      <c r="B179" s="27" t="n">
        <v>1275</v>
      </c>
      <c r="C179" s="27" t="n">
        <v>0</v>
      </c>
      <c r="D179" s="28">
        <f>D178+B179</f>
        <v/>
      </c>
      <c r="E179" s="28">
        <f>E178+C179</f>
        <v/>
      </c>
      <c r="F179" s="28">
        <f>D179/160+E179</f>
        <v/>
      </c>
      <c r="G179" s="28">
        <f>MAX((80-F179)*160,0)</f>
        <v/>
      </c>
      <c r="H179" s="28">
        <f>IF(21&gt;=21,SUMPRODUCT(B159:B179+C159:C179*160)/21,0)</f>
        <v/>
      </c>
      <c r="I179" s="28">
        <f>IF(H179&gt;0,G179/H179,0)</f>
        <v/>
      </c>
    </row>
    <row r="180">
      <c r="A180" s="29" t="inlineStr">
        <is>
          <t>2026-08-18</t>
        </is>
      </c>
      <c r="B180" s="30" t="n">
        <v>150</v>
      </c>
      <c r="C180" s="30" t="n">
        <v>0</v>
      </c>
      <c r="D180" s="31">
        <f>D179+B180</f>
        <v/>
      </c>
      <c r="E180" s="31">
        <f>E179+C180</f>
        <v/>
      </c>
      <c r="F180" s="31">
        <f>D180/160+E180</f>
        <v/>
      </c>
      <c r="G180" s="31">
        <f>MAX((80-F180)*160,0)</f>
        <v/>
      </c>
      <c r="H180" s="31">
        <f>IF(21&gt;=21,SUMPRODUCT(B160:B180+C160:C180*160)/21,0)</f>
        <v/>
      </c>
      <c r="I180" s="31">
        <f>IF(H180&gt;0,G180/H180,0)</f>
        <v/>
      </c>
    </row>
    <row r="181">
      <c r="A181" s="26" t="inlineStr">
        <is>
          <t>2026-08-19</t>
        </is>
      </c>
      <c r="B181" s="27" t="n">
        <v>0</v>
      </c>
      <c r="C181" s="27" t="n">
        <v>0</v>
      </c>
      <c r="D181" s="28">
        <f>D180+B181</f>
        <v/>
      </c>
      <c r="E181" s="28">
        <f>E180+C181</f>
        <v/>
      </c>
      <c r="F181" s="28">
        <f>D181/160+E181</f>
        <v/>
      </c>
      <c r="G181" s="28">
        <f>MAX((80-F181)*160,0)</f>
        <v/>
      </c>
      <c r="H181" s="28">
        <f>IF(21&gt;=21,SUMPRODUCT(B161:B181+C161:C181*160)/21,0)</f>
        <v/>
      </c>
      <c r="I181" s="28">
        <f>IF(H181&gt;0,G181/H181,0)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2026-08-19T17:47:03Z</dcterms:modified>
  <cp:lastModifiedBy>Rianna Santra</cp:lastModifiedBy>
</cp:coreProperties>
</file>