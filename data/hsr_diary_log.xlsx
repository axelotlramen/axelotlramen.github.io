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6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  <row r="62">
      <c r="A62" s="29" t="inlineStr">
        <is>
          <t>2026-04-22</t>
        </is>
      </c>
      <c r="B62" s="30" t="n">
        <v>640</v>
      </c>
      <c r="C62" s="30" t="n">
        <v>0</v>
      </c>
      <c r="D62" s="31">
        <f>D61+B62</f>
        <v/>
      </c>
      <c r="E62" s="31">
        <f>E61+C62</f>
        <v/>
      </c>
      <c r="F62" s="31">
        <f>D62/160+E62</f>
        <v/>
      </c>
      <c r="G62" s="31">
        <f>MAX((80-F62)*160,0)</f>
        <v/>
      </c>
      <c r="H62" s="31">
        <f>IF(21&gt;=21,SUMPRODUCT(B42:B62+C42:C62*160)/21,0)</f>
        <v/>
      </c>
      <c r="I62" s="31">
        <f>IF(H62&gt;0,G62/H62,0)</f>
        <v/>
      </c>
    </row>
    <row r="63">
      <c r="A63" s="26" t="inlineStr">
        <is>
          <t>2026-04-23</t>
        </is>
      </c>
      <c r="B63" s="27" t="n">
        <v>230</v>
      </c>
      <c r="C63" s="27" t="n">
        <v>0</v>
      </c>
      <c r="D63" s="28">
        <f>D62+B63</f>
        <v/>
      </c>
      <c r="E63" s="28">
        <f>E62+C63</f>
        <v/>
      </c>
      <c r="F63" s="28">
        <f>D63/160+E63</f>
        <v/>
      </c>
      <c r="G63" s="28">
        <f>MAX((80-F63)*160,0)</f>
        <v/>
      </c>
      <c r="H63" s="28">
        <f>IF(21&gt;=21,SUMPRODUCT(B43:B63+C43:C63*160)/21,0)</f>
        <v/>
      </c>
      <c r="I63" s="28">
        <f>IF(H63&gt;0,G63/H63,0)</f>
        <v/>
      </c>
    </row>
    <row r="64">
      <c r="A64" s="29" t="inlineStr">
        <is>
          <t>2026-04-24</t>
        </is>
      </c>
      <c r="B64" s="30" t="n">
        <v>767</v>
      </c>
      <c r="C64" s="30" t="n">
        <v>0</v>
      </c>
      <c r="D64" s="31">
        <f>D63+B64</f>
        <v/>
      </c>
      <c r="E64" s="31">
        <f>E63+C64</f>
        <v/>
      </c>
      <c r="F64" s="31">
        <f>D64/160+E64</f>
        <v/>
      </c>
      <c r="G64" s="31">
        <f>MAX((80-F64)*160,0)</f>
        <v/>
      </c>
      <c r="H64" s="31">
        <f>IF(21&gt;=21,SUMPRODUCT(B44:B64+C44:C64*160)/21,0)</f>
        <v/>
      </c>
      <c r="I64" s="31">
        <f>IF(H64&gt;0,G64/H64,0)</f>
        <v/>
      </c>
    </row>
    <row r="65">
      <c r="A65" s="26" t="inlineStr">
        <is>
          <t>2026-04-25</t>
        </is>
      </c>
      <c r="B65" s="27" t="n">
        <v>1428</v>
      </c>
      <c r="C65" s="27" t="n">
        <v>0</v>
      </c>
      <c r="D65" s="28">
        <f>D64+B65</f>
        <v/>
      </c>
      <c r="E65" s="28">
        <f>E64+C65</f>
        <v/>
      </c>
      <c r="F65" s="28">
        <f>D65/160+E65</f>
        <v/>
      </c>
      <c r="G65" s="28">
        <f>MAX((80-F65)*160,0)</f>
        <v/>
      </c>
      <c r="H65" s="28">
        <f>IF(21&gt;=21,SUMPRODUCT(B45:B65+C45:C65*160)/21,0)</f>
        <v/>
      </c>
      <c r="I65" s="28">
        <f>IF(H65&gt;0,G65/H65,0)</f>
        <v/>
      </c>
    </row>
    <row r="66">
      <c r="A66" s="29" t="inlineStr">
        <is>
          <t>2026-04-26</t>
        </is>
      </c>
      <c r="B66" s="30" t="n">
        <v>1930</v>
      </c>
      <c r="C66" s="30" t="n">
        <v>0</v>
      </c>
      <c r="D66" s="31">
        <f>D65+B66</f>
        <v/>
      </c>
      <c r="E66" s="31">
        <f>E65+C66</f>
        <v/>
      </c>
      <c r="F66" s="31">
        <f>D66/160+E66</f>
        <v/>
      </c>
      <c r="G66" s="31">
        <f>MAX((80-F66)*160,0)</f>
        <v/>
      </c>
      <c r="H66" s="31">
        <f>IF(21&gt;=21,SUMPRODUCT(B46:B66+C46:C66*160)/21,0)</f>
        <v/>
      </c>
      <c r="I66" s="31">
        <f>IF(H66&gt;0,G66/H66,0)</f>
        <v/>
      </c>
    </row>
    <row r="67">
      <c r="A67" s="26" t="inlineStr">
        <is>
          <t>2026-04-27</t>
        </is>
      </c>
      <c r="B67" s="27" t="n">
        <v>110</v>
      </c>
      <c r="C67" s="27" t="n">
        <v>0</v>
      </c>
      <c r="D67" s="28">
        <f>D66+B67</f>
        <v/>
      </c>
      <c r="E67" s="28">
        <f>E66+C67</f>
        <v/>
      </c>
      <c r="F67" s="28">
        <f>D67/160+E67</f>
        <v/>
      </c>
      <c r="G67" s="28">
        <f>MAX((80-F67)*160,0)</f>
        <v/>
      </c>
      <c r="H67" s="28">
        <f>IF(21&gt;=21,SUMPRODUCT(B47:B67+C47:C67*160)/21,0)</f>
        <v/>
      </c>
      <c r="I67" s="28">
        <f>IF(H67&gt;0,G67/H67,0)</f>
        <v/>
      </c>
    </row>
    <row r="68">
      <c r="A68" s="29" t="inlineStr">
        <is>
          <t>2026-04-28</t>
        </is>
      </c>
      <c r="B68" s="30" t="n">
        <v>190</v>
      </c>
      <c r="C68" s="30" t="n">
        <v>0</v>
      </c>
      <c r="D68" s="31">
        <f>D67+B68</f>
        <v/>
      </c>
      <c r="E68" s="31">
        <f>E67+C68</f>
        <v/>
      </c>
      <c r="F68" s="31">
        <f>D68/160+E68</f>
        <v/>
      </c>
      <c r="G68" s="31">
        <f>MAX((80-F68)*160,0)</f>
        <v/>
      </c>
      <c r="H68" s="31">
        <f>IF(21&gt;=21,SUMPRODUCT(B48:B68+C48:C68*160)/21,0)</f>
        <v/>
      </c>
      <c r="I68" s="31">
        <f>IF(H68&gt;0,G68/H68,0)</f>
        <v/>
      </c>
    </row>
    <row r="69">
      <c r="A69" s="26" t="inlineStr">
        <is>
          <t>2026-04-29</t>
        </is>
      </c>
      <c r="B69" s="27" t="n">
        <v>110</v>
      </c>
      <c r="C69" s="27" t="n">
        <v>0</v>
      </c>
      <c r="D69" s="28">
        <f>D68+B69</f>
        <v/>
      </c>
      <c r="E69" s="28">
        <f>E68+C69</f>
        <v/>
      </c>
      <c r="F69" s="28">
        <f>D69/160+E69</f>
        <v/>
      </c>
      <c r="G69" s="28">
        <f>MAX((80-F69)*160,0)</f>
        <v/>
      </c>
      <c r="H69" s="28">
        <f>IF(21&gt;=21,SUMPRODUCT(B49:B69+C49:C69*160)/21,0)</f>
        <v/>
      </c>
      <c r="I69" s="28">
        <f>IF(H69&gt;0,G69/H69,0)</f>
        <v/>
      </c>
    </row>
    <row r="70">
      <c r="A70" s="29" t="inlineStr">
        <is>
          <t>2026-04-30</t>
        </is>
      </c>
      <c r="B70" s="30" t="n">
        <v>340</v>
      </c>
      <c r="C70" s="30" t="n">
        <v>0</v>
      </c>
      <c r="D70" s="31">
        <f>D69+B70</f>
        <v/>
      </c>
      <c r="E70" s="31">
        <f>E69+C70</f>
        <v/>
      </c>
      <c r="F70" s="31">
        <f>D70/160+E70</f>
        <v/>
      </c>
      <c r="G70" s="31">
        <f>MAX((80-F70)*160,0)</f>
        <v/>
      </c>
      <c r="H70" s="31">
        <f>IF(21&gt;=21,SUMPRODUCT(B50:B70+C50:C70*160)/21,0)</f>
        <v/>
      </c>
      <c r="I70" s="31">
        <f>IF(H70&gt;0,G70/H70,0)</f>
        <v/>
      </c>
    </row>
    <row r="71">
      <c r="A71" s="26" t="inlineStr">
        <is>
          <t>2026-05-01</t>
        </is>
      </c>
      <c r="B71" s="27" t="n">
        <v>150</v>
      </c>
      <c r="C71" s="27" t="n">
        <v>0</v>
      </c>
      <c r="D71" s="28">
        <f>D70+B71</f>
        <v/>
      </c>
      <c r="E71" s="28">
        <f>E70+C71</f>
        <v/>
      </c>
      <c r="F71" s="28">
        <f>D71/160+E71</f>
        <v/>
      </c>
      <c r="G71" s="28">
        <f>MAX((80-F71)*160,0)</f>
        <v/>
      </c>
      <c r="H71" s="28">
        <f>IF(21&gt;=21,SUMPRODUCT(B51:B71+C51:C71*160)/21,0)</f>
        <v/>
      </c>
      <c r="I71" s="28">
        <f>IF(H71&gt;0,G71/H71,0)</f>
        <v/>
      </c>
    </row>
    <row r="72">
      <c r="A72" s="29" t="inlineStr">
        <is>
          <t>2026-05-02</t>
        </is>
      </c>
      <c r="B72" s="30" t="n">
        <v>580</v>
      </c>
      <c r="C72" s="30" t="n">
        <v>0</v>
      </c>
      <c r="D72" s="31">
        <f>D71+B72</f>
        <v/>
      </c>
      <c r="E72" s="31">
        <f>E71+C72</f>
        <v/>
      </c>
      <c r="F72" s="31">
        <f>D72/160+E72</f>
        <v/>
      </c>
      <c r="G72" s="31">
        <f>MAX((80-F72)*160,0)</f>
        <v/>
      </c>
      <c r="H72" s="31">
        <f>IF(21&gt;=21,SUMPRODUCT(B52:B72+C52:C72*160)/21,0)</f>
        <v/>
      </c>
      <c r="I72" s="31">
        <f>IF(H72&gt;0,G72/H72,0)</f>
        <v/>
      </c>
    </row>
    <row r="73">
      <c r="A73" s="26" t="inlineStr">
        <is>
          <t>2026-05-03</t>
        </is>
      </c>
      <c r="B73" s="27" t="n">
        <v>370</v>
      </c>
      <c r="C73" s="27" t="n">
        <v>0</v>
      </c>
      <c r="D73" s="28">
        <f>D72+B73</f>
        <v/>
      </c>
      <c r="E73" s="28">
        <f>E72+C73</f>
        <v/>
      </c>
      <c r="F73" s="28">
        <f>D73/160+E73</f>
        <v/>
      </c>
      <c r="G73" s="28">
        <f>MAX((80-F73)*160,0)</f>
        <v/>
      </c>
      <c r="H73" s="28">
        <f>IF(21&gt;=21,SUMPRODUCT(B53:B73+C53:C73*160)/21,0)</f>
        <v/>
      </c>
      <c r="I73" s="28">
        <f>IF(H73&gt;0,G73/H73,0)</f>
        <v/>
      </c>
    </row>
    <row r="74">
      <c r="A74" s="29" t="inlineStr">
        <is>
          <t>2026-05-04</t>
        </is>
      </c>
      <c r="B74" s="30" t="n">
        <v>377</v>
      </c>
      <c r="C74" s="30" t="n">
        <v>0</v>
      </c>
      <c r="D74" s="31">
        <f>D73+B74</f>
        <v/>
      </c>
      <c r="E74" s="31">
        <f>E73+C74</f>
        <v/>
      </c>
      <c r="F74" s="31">
        <f>D74/160+E74</f>
        <v/>
      </c>
      <c r="G74" s="31">
        <f>MAX((80-F74)*160,0)</f>
        <v/>
      </c>
      <c r="H74" s="31">
        <f>IF(21&gt;=21,SUMPRODUCT(B54:B74+C54:C74*160)/21,0)</f>
        <v/>
      </c>
      <c r="I74" s="31">
        <f>IF(H74&gt;0,G74/H74,0)</f>
        <v/>
      </c>
    </row>
    <row r="75">
      <c r="A75" s="26" t="inlineStr">
        <is>
          <t>2026-05-05</t>
        </is>
      </c>
      <c r="B75" s="27" t="n">
        <v>210</v>
      </c>
      <c r="C75" s="27" t="n">
        <v>0</v>
      </c>
      <c r="D75" s="28">
        <f>D74+B75</f>
        <v/>
      </c>
      <c r="E75" s="28">
        <f>E74+C75</f>
        <v/>
      </c>
      <c r="F75" s="28">
        <f>D75/160+E75</f>
        <v/>
      </c>
      <c r="G75" s="28">
        <f>MAX((80-F75)*160,0)</f>
        <v/>
      </c>
      <c r="H75" s="28">
        <f>IF(21&gt;=21,SUMPRODUCT(B55:B75+C55:C75*160)/21,0)</f>
        <v/>
      </c>
      <c r="I75" s="28">
        <f>IF(H75&gt;0,G75/H75,0)</f>
        <v/>
      </c>
    </row>
    <row r="76">
      <c r="A76" s="29" t="inlineStr">
        <is>
          <t>2026-05-06</t>
        </is>
      </c>
      <c r="B76" s="30" t="n">
        <v>150</v>
      </c>
      <c r="C76" s="30" t="n">
        <v>0</v>
      </c>
      <c r="D76" s="31">
        <f>D75+B76</f>
        <v/>
      </c>
      <c r="E76" s="31">
        <f>E75+C76</f>
        <v/>
      </c>
      <c r="F76" s="31">
        <f>D76/160+E76</f>
        <v/>
      </c>
      <c r="G76" s="31">
        <f>MAX((80-F76)*160,0)</f>
        <v/>
      </c>
      <c r="H76" s="31">
        <f>IF(21&gt;=21,SUMPRODUCT(B56:B76+C56:C76*160)/21,0)</f>
        <v/>
      </c>
      <c r="I76" s="31">
        <f>IF(H76&gt;0,G76/H76,0)</f>
        <v/>
      </c>
    </row>
    <row r="77">
      <c r="A77" s="26" t="inlineStr">
        <is>
          <t>2026-05-07</t>
        </is>
      </c>
      <c r="B77" s="27" t="n">
        <v>158</v>
      </c>
      <c r="C77" s="27" t="n">
        <v>0</v>
      </c>
      <c r="D77" s="28">
        <f>D76+B77</f>
        <v/>
      </c>
      <c r="E77" s="28">
        <f>E76+C77</f>
        <v/>
      </c>
      <c r="F77" s="28">
        <f>D77/160+E77</f>
        <v/>
      </c>
      <c r="G77" s="28">
        <f>MAX((80-F77)*160,0)</f>
        <v/>
      </c>
      <c r="H77" s="28">
        <f>IF(21&gt;=21,SUMPRODUCT(B57:B77+C57:C77*160)/21,0)</f>
        <v/>
      </c>
      <c r="I77" s="28">
        <f>IF(H77&gt;0,G77/H77,0)</f>
        <v/>
      </c>
    </row>
    <row r="78">
      <c r="A78" s="29" t="inlineStr">
        <is>
          <t>2026-05-08</t>
        </is>
      </c>
      <c r="B78" s="30" t="n">
        <v>150</v>
      </c>
      <c r="C78" s="30" t="n">
        <v>0</v>
      </c>
      <c r="D78" s="31">
        <f>D77+B78</f>
        <v/>
      </c>
      <c r="E78" s="31">
        <f>E77+C78</f>
        <v/>
      </c>
      <c r="F78" s="31">
        <f>D78/160+E78</f>
        <v/>
      </c>
      <c r="G78" s="31">
        <f>MAX((80-F78)*160,0)</f>
        <v/>
      </c>
      <c r="H78" s="31">
        <f>IF(21&gt;=21,SUMPRODUCT(B58:B78+C58:C78*160)/21,0)</f>
        <v/>
      </c>
      <c r="I78" s="31">
        <f>IF(H78&gt;0,G78/H78,0)</f>
        <v/>
      </c>
    </row>
    <row r="79">
      <c r="A79" s="26" t="inlineStr">
        <is>
          <t>2026-05-09</t>
        </is>
      </c>
      <c r="B79" s="27" t="n">
        <v>150</v>
      </c>
      <c r="C79" s="27" t="n">
        <v>0</v>
      </c>
      <c r="D79" s="28">
        <f>D78+B79</f>
        <v/>
      </c>
      <c r="E79" s="28">
        <f>E78+C79</f>
        <v/>
      </c>
      <c r="F79" s="28">
        <f>D79/160+E79</f>
        <v/>
      </c>
      <c r="G79" s="28">
        <f>MAX((80-F79)*160,0)</f>
        <v/>
      </c>
      <c r="H79" s="28">
        <f>IF(21&gt;=21,SUMPRODUCT(B59:B79+C59:C79*160)/21,0)</f>
        <v/>
      </c>
      <c r="I79" s="28">
        <f>IF(H79&gt;0,G79/H79,0)</f>
        <v/>
      </c>
    </row>
    <row r="80">
      <c r="A80" s="29" t="inlineStr">
        <is>
          <t>2026-05-10</t>
        </is>
      </c>
      <c r="B80" s="30" t="n">
        <v>150</v>
      </c>
      <c r="C80" s="30" t="n">
        <v>0</v>
      </c>
      <c r="D80" s="31">
        <f>D79+B80</f>
        <v/>
      </c>
      <c r="E80" s="31">
        <f>E79+C80</f>
        <v/>
      </c>
      <c r="F80" s="31">
        <f>D80/160+E80</f>
        <v/>
      </c>
      <c r="G80" s="31">
        <f>MAX((80-F80)*160,0)</f>
        <v/>
      </c>
      <c r="H80" s="31">
        <f>IF(21&gt;=21,SUMPRODUCT(B60:B80+C60:C80*160)/21,0)</f>
        <v/>
      </c>
      <c r="I80" s="31">
        <f>IF(H80&gt;0,G80/H80,0)</f>
        <v/>
      </c>
    </row>
    <row r="81">
      <c r="A81" s="26" t="inlineStr">
        <is>
          <t>2026-05-11</t>
        </is>
      </c>
      <c r="B81" s="27" t="n">
        <v>979</v>
      </c>
      <c r="C81" s="27" t="n">
        <v>0</v>
      </c>
      <c r="D81" s="28">
        <f>D80+B81</f>
        <v/>
      </c>
      <c r="E81" s="28">
        <f>E80+C81</f>
        <v/>
      </c>
      <c r="F81" s="28">
        <f>D81/160+E81</f>
        <v/>
      </c>
      <c r="G81" s="28">
        <f>MAX((80-F81)*160,0)</f>
        <v/>
      </c>
      <c r="H81" s="28">
        <f>IF(21&gt;=21,SUMPRODUCT(B61:B81+C61:C81*160)/21,0)</f>
        <v/>
      </c>
      <c r="I81" s="28">
        <f>IF(H81&gt;0,G81/H81,0)</f>
        <v/>
      </c>
    </row>
    <row r="82">
      <c r="A82" s="29" t="inlineStr">
        <is>
          <t>2026-05-12</t>
        </is>
      </c>
      <c r="B82" s="30" t="n">
        <v>170</v>
      </c>
      <c r="C82" s="30" t="n">
        <v>0</v>
      </c>
      <c r="D82" s="31">
        <f>D81+B82</f>
        <v/>
      </c>
      <c r="E82" s="31">
        <f>E81+C82</f>
        <v/>
      </c>
      <c r="F82" s="31">
        <f>D82/160+E82</f>
        <v/>
      </c>
      <c r="G82" s="31">
        <f>MAX((80-F82)*160,0)</f>
        <v/>
      </c>
      <c r="H82" s="31">
        <f>IF(21&gt;=21,SUMPRODUCT(B62:B82+C62:C82*160)/21,0)</f>
        <v/>
      </c>
      <c r="I82" s="31">
        <f>IF(H82&gt;0,G82/H82,0)</f>
        <v/>
      </c>
    </row>
    <row r="83">
      <c r="A83" s="26" t="inlineStr">
        <is>
          <t>2026-05-13</t>
        </is>
      </c>
      <c r="B83" s="27" t="n">
        <v>150</v>
      </c>
      <c r="C83" s="27" t="n">
        <v>0</v>
      </c>
      <c r="D83" s="28">
        <f>D82+B83</f>
        <v/>
      </c>
      <c r="E83" s="28">
        <f>E82+C83</f>
        <v/>
      </c>
      <c r="F83" s="28">
        <f>D83/160+E83</f>
        <v/>
      </c>
      <c r="G83" s="28">
        <f>MAX((80-F83)*160,0)</f>
        <v/>
      </c>
      <c r="H83" s="28">
        <f>IF(21&gt;=21,SUMPRODUCT(B63:B83+C63:C83*160)/21,0)</f>
        <v/>
      </c>
      <c r="I83" s="28">
        <f>IF(H83&gt;0,G83/H83,0)</f>
        <v/>
      </c>
    </row>
    <row r="84">
      <c r="A84" s="29" t="inlineStr">
        <is>
          <t>2026-05-14</t>
        </is>
      </c>
      <c r="B84" s="30" t="n">
        <v>155</v>
      </c>
      <c r="C84" s="30" t="n">
        <v>0</v>
      </c>
      <c r="D84" s="31">
        <f>D83+B84</f>
        <v/>
      </c>
      <c r="E84" s="31">
        <f>E83+C84</f>
        <v/>
      </c>
      <c r="F84" s="31">
        <f>D84/160+E84</f>
        <v/>
      </c>
      <c r="G84" s="31">
        <f>MAX((80-F84)*160,0)</f>
        <v/>
      </c>
      <c r="H84" s="31">
        <f>IF(21&gt;=21,SUMPRODUCT(B64:B84+C64:C84*160)/21,0)</f>
        <v/>
      </c>
      <c r="I84" s="31">
        <f>IF(H84&gt;0,G84/H84,0)</f>
        <v/>
      </c>
    </row>
    <row r="85">
      <c r="A85" s="26" t="inlineStr">
        <is>
          <t>2026-05-15</t>
        </is>
      </c>
      <c r="B85" s="27" t="n">
        <v>150</v>
      </c>
      <c r="C85" s="27" t="n">
        <v>0</v>
      </c>
      <c r="D85" s="28">
        <f>D84+B85</f>
        <v/>
      </c>
      <c r="E85" s="28">
        <f>E84+C85</f>
        <v/>
      </c>
      <c r="F85" s="28">
        <f>D85/160+E85</f>
        <v/>
      </c>
      <c r="G85" s="28">
        <f>MAX((80-F85)*160,0)</f>
        <v/>
      </c>
      <c r="H85" s="28">
        <f>IF(21&gt;=21,SUMPRODUCT(B65:B85+C65:C85*160)/21,0)</f>
        <v/>
      </c>
      <c r="I85" s="28">
        <f>IF(H85&gt;0,G85/H85,0)</f>
        <v/>
      </c>
    </row>
    <row r="86">
      <c r="A86" s="29" t="inlineStr">
        <is>
          <t>2026-05-16</t>
        </is>
      </c>
      <c r="B86" s="30" t="n">
        <v>0</v>
      </c>
      <c r="C86" s="30" t="n">
        <v>0</v>
      </c>
      <c r="D86" s="31">
        <f>D85+B86</f>
        <v/>
      </c>
      <c r="E86" s="31">
        <f>E85+C86</f>
        <v/>
      </c>
      <c r="F86" s="31">
        <f>D86/160+E86</f>
        <v/>
      </c>
      <c r="G86" s="31">
        <f>MAX((80-F86)*160,0)</f>
        <v/>
      </c>
      <c r="H86" s="31">
        <f>IF(21&gt;=21,SUMPRODUCT(B66:B86+C66:C86*160)/21,0)</f>
        <v/>
      </c>
      <c r="I86" s="31">
        <f>IF(H86&gt;0,G86/H86,0)</f>
        <v/>
      </c>
    </row>
    <row r="87">
      <c r="A87" s="26" t="inlineStr">
        <is>
          <t>2026-05-17</t>
        </is>
      </c>
      <c r="B87" s="27" t="n">
        <v>150</v>
      </c>
      <c r="C87" s="27" t="n">
        <v>0</v>
      </c>
      <c r="D87" s="28">
        <f>D86+B87</f>
        <v/>
      </c>
      <c r="E87" s="28">
        <f>E86+C87</f>
        <v/>
      </c>
      <c r="F87" s="28">
        <f>D87/160+E87</f>
        <v/>
      </c>
      <c r="G87" s="28">
        <f>MAX((80-F87)*160,0)</f>
        <v/>
      </c>
      <c r="H87" s="28">
        <f>IF(21&gt;=21,SUMPRODUCT(B67:B87+C67:C87*160)/21,0)</f>
        <v/>
      </c>
      <c r="I87" s="28">
        <f>IF(H87&gt;0,G87/H87,0)</f>
        <v/>
      </c>
    </row>
    <row r="88">
      <c r="A88" s="29" t="inlineStr">
        <is>
          <t>2026-05-18</t>
        </is>
      </c>
      <c r="B88" s="30" t="n">
        <v>266</v>
      </c>
      <c r="C88" s="30" t="n">
        <v>0</v>
      </c>
      <c r="D88" s="31">
        <f>D87+B88</f>
        <v/>
      </c>
      <c r="E88" s="31">
        <f>E87+C88</f>
        <v/>
      </c>
      <c r="F88" s="31">
        <f>D88/160+E88</f>
        <v/>
      </c>
      <c r="G88" s="31">
        <f>MAX((80-F88)*160,0)</f>
        <v/>
      </c>
      <c r="H88" s="31">
        <f>IF(21&gt;=21,SUMPRODUCT(B68:B88+C68:C88*160)/21,0)</f>
        <v/>
      </c>
      <c r="I88" s="31">
        <f>IF(H88&gt;0,G88/H88,0)</f>
        <v/>
      </c>
    </row>
    <row r="89">
      <c r="A89" s="26" t="inlineStr">
        <is>
          <t>2026-05-19</t>
        </is>
      </c>
      <c r="B89" s="27" t="n">
        <v>535</v>
      </c>
      <c r="C89" s="27" t="n">
        <v>0</v>
      </c>
      <c r="D89" s="28">
        <f>D88+B89</f>
        <v/>
      </c>
      <c r="E89" s="28">
        <f>E88+C89</f>
        <v/>
      </c>
      <c r="F89" s="28">
        <f>D89/160+E89</f>
        <v/>
      </c>
      <c r="G89" s="28">
        <f>MAX((80-F89)*160,0)</f>
        <v/>
      </c>
      <c r="H89" s="28">
        <f>IF(21&gt;=21,SUMPRODUCT(B69:B89+C69:C89*160)/21,0)</f>
        <v/>
      </c>
      <c r="I89" s="28">
        <f>IF(H89&gt;0,G89/H89,0)</f>
        <v/>
      </c>
    </row>
    <row r="90">
      <c r="A90" s="29" t="inlineStr">
        <is>
          <t>2026-05-20</t>
        </is>
      </c>
      <c r="B90" s="30" t="n">
        <v>0</v>
      </c>
      <c r="C90" s="30" t="n">
        <v>0</v>
      </c>
      <c r="D90" s="31">
        <f>D89+B90</f>
        <v/>
      </c>
      <c r="E90" s="31">
        <f>E89+C90</f>
        <v/>
      </c>
      <c r="F90" s="31">
        <f>D90/160+E90</f>
        <v/>
      </c>
      <c r="G90" s="31">
        <f>MAX((80-F90)*160,0)</f>
        <v/>
      </c>
      <c r="H90" s="31">
        <f>IF(21&gt;=21,SUMPRODUCT(B70:B90+C70:C90*160)/21,0)</f>
        <v/>
      </c>
      <c r="I90" s="31">
        <f>IF(H90&gt;0,G90/H90,0)</f>
        <v/>
      </c>
    </row>
    <row r="91">
      <c r="A91" s="26" t="inlineStr">
        <is>
          <t>2026-05-21</t>
        </is>
      </c>
      <c r="B91" s="27" t="n">
        <v>150</v>
      </c>
      <c r="C91" s="27" t="n">
        <v>0</v>
      </c>
      <c r="D91" s="28">
        <f>D90+B91</f>
        <v/>
      </c>
      <c r="E91" s="28">
        <f>E90+C91</f>
        <v/>
      </c>
      <c r="F91" s="28">
        <f>D91/160+E91</f>
        <v/>
      </c>
      <c r="G91" s="28">
        <f>MAX((80-F91)*160,0)</f>
        <v/>
      </c>
      <c r="H91" s="28">
        <f>IF(21&gt;=21,SUMPRODUCT(B71:B91+C71:C91*160)/21,0)</f>
        <v/>
      </c>
      <c r="I91" s="28">
        <f>IF(H91&gt;0,G91/H91,0)</f>
        <v/>
      </c>
    </row>
    <row r="92">
      <c r="A92" s="29" t="inlineStr">
        <is>
          <t>2026-05-22</t>
        </is>
      </c>
      <c r="B92" s="30" t="n">
        <v>450</v>
      </c>
      <c r="C92" s="30" t="n">
        <v>0</v>
      </c>
      <c r="D92" s="31">
        <f>D91+B92</f>
        <v/>
      </c>
      <c r="E92" s="31">
        <f>E91+C92</f>
        <v/>
      </c>
      <c r="F92" s="31">
        <f>D92/160+E92</f>
        <v/>
      </c>
      <c r="G92" s="31">
        <f>MAX((80-F92)*160,0)</f>
        <v/>
      </c>
      <c r="H92" s="31">
        <f>IF(21&gt;=21,SUMPRODUCT(B72:B92+C72:C92*160)/21,0)</f>
        <v/>
      </c>
      <c r="I92" s="31">
        <f>IF(H92&gt;0,G92/H92,0)</f>
        <v/>
      </c>
    </row>
    <row r="93">
      <c r="A93" s="26" t="inlineStr">
        <is>
          <t>2026-05-23</t>
        </is>
      </c>
      <c r="B93" s="27" t="n">
        <v>150</v>
      </c>
      <c r="C93" s="27" t="n">
        <v>0</v>
      </c>
      <c r="D93" s="28">
        <f>D92+B93</f>
        <v/>
      </c>
      <c r="E93" s="28">
        <f>E92+C93</f>
        <v/>
      </c>
      <c r="F93" s="28">
        <f>D93/160+E93</f>
        <v/>
      </c>
      <c r="G93" s="28">
        <f>MAX((80-F93)*160,0)</f>
        <v/>
      </c>
      <c r="H93" s="28">
        <f>IF(21&gt;=21,SUMPRODUCT(B73:B93+C73:C93*160)/21,0)</f>
        <v/>
      </c>
      <c r="I93" s="28">
        <f>IF(H93&gt;0,G93/H93,0)</f>
        <v/>
      </c>
    </row>
    <row r="94">
      <c r="A94" s="29" t="inlineStr">
        <is>
          <t>2026-05-24</t>
        </is>
      </c>
      <c r="B94" s="30" t="n">
        <v>180</v>
      </c>
      <c r="C94" s="30" t="n">
        <v>0</v>
      </c>
      <c r="D94" s="31">
        <f>D93+B94</f>
        <v/>
      </c>
      <c r="E94" s="31">
        <f>E93+C94</f>
        <v/>
      </c>
      <c r="F94" s="31">
        <f>D94/160+E94</f>
        <v/>
      </c>
      <c r="G94" s="31">
        <f>MAX((80-F94)*160,0)</f>
        <v/>
      </c>
      <c r="H94" s="31">
        <f>IF(21&gt;=21,SUMPRODUCT(B74:B94+C74:C94*160)/21,0)</f>
        <v/>
      </c>
      <c r="I94" s="31">
        <f>IF(H94&gt;0,G94/H94,0)</f>
        <v/>
      </c>
    </row>
    <row r="95">
      <c r="A95" s="26" t="inlineStr">
        <is>
          <t>2026-05-25</t>
        </is>
      </c>
      <c r="B95" s="27" t="n">
        <v>1373</v>
      </c>
      <c r="C95" s="27" t="n">
        <v>0</v>
      </c>
      <c r="D95" s="28">
        <f>D94+B95</f>
        <v/>
      </c>
      <c r="E95" s="28">
        <f>E94+C95</f>
        <v/>
      </c>
      <c r="F95" s="28">
        <f>D95/160+E95</f>
        <v/>
      </c>
      <c r="G95" s="28">
        <f>MAX((80-F95)*160,0)</f>
        <v/>
      </c>
      <c r="H95" s="28">
        <f>IF(21&gt;=21,SUMPRODUCT(B75:B95+C75:C95*160)/21,0)</f>
        <v/>
      </c>
      <c r="I95" s="28">
        <f>IF(H95&gt;0,G95/H95,0)</f>
        <v/>
      </c>
    </row>
    <row r="96">
      <c r="A96" s="29" t="inlineStr">
        <is>
          <t>2026-05-26</t>
        </is>
      </c>
      <c r="B96" s="30" t="n">
        <v>150</v>
      </c>
      <c r="C96" s="30" t="n">
        <v>0</v>
      </c>
      <c r="D96" s="31">
        <f>D95+B96</f>
        <v/>
      </c>
      <c r="E96" s="31">
        <f>E95+C96</f>
        <v/>
      </c>
      <c r="F96" s="31">
        <f>D96/160+E96</f>
        <v/>
      </c>
      <c r="G96" s="31">
        <f>MAX((80-F96)*160,0)</f>
        <v/>
      </c>
      <c r="H96" s="31">
        <f>IF(21&gt;=21,SUMPRODUCT(B76:B96+C76:C96*160)/21,0)</f>
        <v/>
      </c>
      <c r="I96" s="31">
        <f>IF(H96&gt;0,G96/H96,0)</f>
        <v/>
      </c>
    </row>
    <row r="97">
      <c r="A97" s="26" t="inlineStr">
        <is>
          <t>2026-05-27</t>
        </is>
      </c>
      <c r="B97" s="27" t="n">
        <v>90</v>
      </c>
      <c r="C97" s="27" t="n">
        <v>0</v>
      </c>
      <c r="D97" s="28">
        <f>D96+B97</f>
        <v/>
      </c>
      <c r="E97" s="28">
        <f>E96+C97</f>
        <v/>
      </c>
      <c r="F97" s="28">
        <f>D97/160+E97</f>
        <v/>
      </c>
      <c r="G97" s="28">
        <f>MAX((80-F97)*160,0)</f>
        <v/>
      </c>
      <c r="H97" s="28">
        <f>IF(21&gt;=21,SUMPRODUCT(B77:B97+C77:C97*160)/21,0)</f>
        <v/>
      </c>
      <c r="I97" s="28">
        <f>IF(H97&gt;0,G97/H97,0)</f>
        <v/>
      </c>
    </row>
    <row r="98">
      <c r="A98" s="29" t="inlineStr">
        <is>
          <t>2026-05-28</t>
        </is>
      </c>
      <c r="B98" s="30" t="n">
        <v>150</v>
      </c>
      <c r="C98" s="30" t="n">
        <v>0</v>
      </c>
      <c r="D98" s="31">
        <f>D97+B98</f>
        <v/>
      </c>
      <c r="E98" s="31">
        <f>E97+C98</f>
        <v/>
      </c>
      <c r="F98" s="31">
        <f>D98/160+E98</f>
        <v/>
      </c>
      <c r="G98" s="31">
        <f>MAX((80-F98)*160,0)</f>
        <v/>
      </c>
      <c r="H98" s="31">
        <f>IF(21&gt;=21,SUMPRODUCT(B78:B98+C78:C98*160)/21,0)</f>
        <v/>
      </c>
      <c r="I98" s="31">
        <f>IF(H98&gt;0,G98/H98,0)</f>
        <v/>
      </c>
    </row>
    <row r="99">
      <c r="A99" s="26" t="inlineStr">
        <is>
          <t>2026-05-29</t>
        </is>
      </c>
      <c r="B99" s="27" t="n">
        <v>0</v>
      </c>
      <c r="C99" s="27" t="n">
        <v>0</v>
      </c>
      <c r="D99" s="28">
        <f>D98+B99</f>
        <v/>
      </c>
      <c r="E99" s="28">
        <f>E98+C99</f>
        <v/>
      </c>
      <c r="F99" s="28">
        <f>D99/160+E99</f>
        <v/>
      </c>
      <c r="G99" s="28">
        <f>MAX((80-F99)*160,0)</f>
        <v/>
      </c>
      <c r="H99" s="28">
        <f>IF(21&gt;=21,SUMPRODUCT(B79:B99+C79:C99*160)/21,0)</f>
        <v/>
      </c>
      <c r="I99" s="28">
        <f>IF(H99&gt;0,G99/H99,0)</f>
        <v/>
      </c>
    </row>
    <row r="100">
      <c r="A100" s="29" t="inlineStr">
        <is>
          <t>2026-05-30</t>
        </is>
      </c>
      <c r="B100" s="30" t="n">
        <v>150</v>
      </c>
      <c r="C100" s="30" t="n">
        <v>0</v>
      </c>
      <c r="D100" s="31">
        <f>D99+B100</f>
        <v/>
      </c>
      <c r="E100" s="31">
        <f>E99+C100</f>
        <v/>
      </c>
      <c r="F100" s="31">
        <f>D100/160+E100</f>
        <v/>
      </c>
      <c r="G100" s="31">
        <f>MAX((80-F100)*160,0)</f>
        <v/>
      </c>
      <c r="H100" s="31">
        <f>IF(21&gt;=21,SUMPRODUCT(B80:B100+C80:C100*160)/21,0)</f>
        <v/>
      </c>
      <c r="I100" s="31">
        <f>IF(H100&gt;0,G100/H100,0)</f>
        <v/>
      </c>
    </row>
    <row r="101">
      <c r="A101" s="26" t="inlineStr">
        <is>
          <t>2026-05-31</t>
        </is>
      </c>
      <c r="B101" s="27" t="n">
        <v>155</v>
      </c>
      <c r="C101" s="27" t="n">
        <v>0</v>
      </c>
      <c r="D101" s="28">
        <f>D100+B101</f>
        <v/>
      </c>
      <c r="E101" s="28">
        <f>E100+C101</f>
        <v/>
      </c>
      <c r="F101" s="28">
        <f>D101/160+E101</f>
        <v/>
      </c>
      <c r="G101" s="28">
        <f>MAX((80-F101)*160,0)</f>
        <v/>
      </c>
      <c r="H101" s="28">
        <f>IF(21&gt;=21,SUMPRODUCT(B81:B101+C81:C101*160)/21,0)</f>
        <v/>
      </c>
      <c r="I101" s="28">
        <f>IF(H101&gt;0,G101/H101,0)</f>
        <v/>
      </c>
    </row>
    <row r="102">
      <c r="A102" s="29" t="inlineStr">
        <is>
          <t>2026-06-01</t>
        </is>
      </c>
      <c r="B102" s="30" t="n">
        <v>155</v>
      </c>
      <c r="C102" s="30" t="n">
        <v>0</v>
      </c>
      <c r="D102" s="31">
        <f>D101+B102</f>
        <v/>
      </c>
      <c r="E102" s="31">
        <f>E101+C102</f>
        <v/>
      </c>
      <c r="F102" s="31">
        <f>D102/160+E102</f>
        <v/>
      </c>
      <c r="G102" s="31">
        <f>MAX((80-F102)*160,0)</f>
        <v/>
      </c>
      <c r="H102" s="31">
        <f>IF(21&gt;=21,SUMPRODUCT(B82:B102+C82:C102*160)/21,0)</f>
        <v/>
      </c>
      <c r="I102" s="31">
        <f>IF(H102&gt;0,G102/H102,0)</f>
        <v/>
      </c>
    </row>
    <row r="103">
      <c r="A103" s="26" t="inlineStr">
        <is>
          <t>2026-06-02</t>
        </is>
      </c>
      <c r="B103" s="27" t="n">
        <v>155</v>
      </c>
      <c r="C103" s="27" t="n">
        <v>0</v>
      </c>
      <c r="D103" s="28">
        <f>D102+B103</f>
        <v/>
      </c>
      <c r="E103" s="28">
        <f>E102+C103</f>
        <v/>
      </c>
      <c r="F103" s="28">
        <f>D103/160+E103</f>
        <v/>
      </c>
      <c r="G103" s="28">
        <f>MAX((80-F103)*160,0)</f>
        <v/>
      </c>
      <c r="H103" s="28">
        <f>IF(21&gt;=21,SUMPRODUCT(B83:B103+C83:C103*160)/21,0)</f>
        <v/>
      </c>
      <c r="I103" s="28">
        <f>IF(H103&gt;0,G103/H103,0)</f>
        <v/>
      </c>
    </row>
    <row r="104">
      <c r="A104" s="29" t="inlineStr">
        <is>
          <t>2026-06-03</t>
        </is>
      </c>
      <c r="B104" s="30" t="n">
        <v>155</v>
      </c>
      <c r="C104" s="30" t="n">
        <v>0</v>
      </c>
      <c r="D104" s="31">
        <f>D103+B104</f>
        <v/>
      </c>
      <c r="E104" s="31">
        <f>E103+C104</f>
        <v/>
      </c>
      <c r="F104" s="31">
        <f>D104/160+E104</f>
        <v/>
      </c>
      <c r="G104" s="31">
        <f>MAX((80-F104)*160,0)</f>
        <v/>
      </c>
      <c r="H104" s="31">
        <f>IF(21&gt;=21,SUMPRODUCT(B84:B104+C84:C104*160)/21,0)</f>
        <v/>
      </c>
      <c r="I104" s="31">
        <f>IF(H104&gt;0,G104/H104,0)</f>
        <v/>
      </c>
    </row>
    <row r="105">
      <c r="A105" s="26" t="inlineStr">
        <is>
          <t>2026-06-04</t>
        </is>
      </c>
      <c r="B105" s="27" t="n">
        <v>0</v>
      </c>
      <c r="C105" s="27" t="n">
        <v>0</v>
      </c>
      <c r="D105" s="28">
        <f>D104+B105</f>
        <v/>
      </c>
      <c r="E105" s="28">
        <f>E104+C105</f>
        <v/>
      </c>
      <c r="F105" s="28">
        <f>D105/160+E105</f>
        <v/>
      </c>
      <c r="G105" s="28">
        <f>MAX((80-F105)*160,0)</f>
        <v/>
      </c>
      <c r="H105" s="28">
        <f>IF(21&gt;=21,SUMPRODUCT(B85:B105+C85:C105*160)/21,0)</f>
        <v/>
      </c>
      <c r="I105" s="28">
        <f>IF(H105&gt;0,G105/H105,0)</f>
        <v/>
      </c>
    </row>
    <row r="106">
      <c r="A106" s="29" t="inlineStr">
        <is>
          <t>2026-06-05</t>
        </is>
      </c>
      <c r="B106" s="30" t="n">
        <v>155</v>
      </c>
      <c r="C106" s="30" t="n">
        <v>0</v>
      </c>
      <c r="D106" s="31">
        <f>D105+B106</f>
        <v/>
      </c>
      <c r="E106" s="31">
        <f>E105+C106</f>
        <v/>
      </c>
      <c r="F106" s="31">
        <f>D106/160+E106</f>
        <v/>
      </c>
      <c r="G106" s="31">
        <f>MAX((80-F106)*160,0)</f>
        <v/>
      </c>
      <c r="H106" s="31">
        <f>IF(21&gt;=21,SUMPRODUCT(B86:B106+C86:C106*160)/21,0)</f>
        <v/>
      </c>
      <c r="I106" s="31">
        <f>IF(H106&gt;0,G106/H106,0)</f>
        <v/>
      </c>
    </row>
    <row r="107">
      <c r="A107" s="26" t="inlineStr">
        <is>
          <t>2026-06-06</t>
        </is>
      </c>
      <c r="B107" s="27" t="n">
        <v>155</v>
      </c>
      <c r="C107" s="27" t="n">
        <v>0</v>
      </c>
      <c r="D107" s="28">
        <f>D106+B107</f>
        <v/>
      </c>
      <c r="E107" s="28">
        <f>E106+C107</f>
        <v/>
      </c>
      <c r="F107" s="28">
        <f>D107/160+E107</f>
        <v/>
      </c>
      <c r="G107" s="28">
        <f>MAX((80-F107)*160,0)</f>
        <v/>
      </c>
      <c r="H107" s="28">
        <f>IF(21&gt;=21,SUMPRODUCT(B87:B107+C87:C107*160)/21,0)</f>
        <v/>
      </c>
      <c r="I107" s="28">
        <f>IF(H107&gt;0,G107/H107,0)</f>
        <v/>
      </c>
    </row>
    <row r="108">
      <c r="A108" s="29" t="inlineStr">
        <is>
          <t>2026-06-07</t>
        </is>
      </c>
      <c r="B108" s="30" t="n">
        <v>155</v>
      </c>
      <c r="C108" s="30" t="n">
        <v>0</v>
      </c>
      <c r="D108" s="31">
        <f>D107+B108</f>
        <v/>
      </c>
      <c r="E108" s="31">
        <f>E107+C108</f>
        <v/>
      </c>
      <c r="F108" s="31">
        <f>D108/160+E108</f>
        <v/>
      </c>
      <c r="G108" s="31">
        <f>MAX((80-F108)*160,0)</f>
        <v/>
      </c>
      <c r="H108" s="31">
        <f>IF(21&gt;=21,SUMPRODUCT(B88:B108+C88:C108*160)/21,0)</f>
        <v/>
      </c>
      <c r="I108" s="31">
        <f>IF(H108&gt;0,G108/H108,0)</f>
        <v/>
      </c>
    </row>
    <row r="109">
      <c r="A109" s="26" t="inlineStr">
        <is>
          <t>2026-06-08</t>
        </is>
      </c>
      <c r="B109" s="27" t="n">
        <v>1275</v>
      </c>
      <c r="C109" s="27" t="n">
        <v>0</v>
      </c>
      <c r="D109" s="28">
        <f>D108+B109</f>
        <v/>
      </c>
      <c r="E109" s="28">
        <f>E108+C109</f>
        <v/>
      </c>
      <c r="F109" s="28">
        <f>D109/160+E109</f>
        <v/>
      </c>
      <c r="G109" s="28">
        <f>MAX((80-F109)*160,0)</f>
        <v/>
      </c>
      <c r="H109" s="28">
        <f>IF(21&gt;=21,SUMPRODUCT(B89:B109+C89:C109*160)/21,0)</f>
        <v/>
      </c>
      <c r="I109" s="28">
        <f>IF(H109&gt;0,G109/H109,0)</f>
        <v/>
      </c>
    </row>
    <row r="110">
      <c r="A110" s="29" t="inlineStr">
        <is>
          <t>2026-06-09</t>
        </is>
      </c>
      <c r="B110" s="30" t="n">
        <v>150</v>
      </c>
      <c r="C110" s="30" t="n">
        <v>0</v>
      </c>
      <c r="D110" s="31">
        <f>D109+B110</f>
        <v/>
      </c>
      <c r="E110" s="31">
        <f>E109+C110</f>
        <v/>
      </c>
      <c r="F110" s="31">
        <f>D110/160+E110</f>
        <v/>
      </c>
      <c r="G110" s="31">
        <f>MAX((80-F110)*160,0)</f>
        <v/>
      </c>
      <c r="H110" s="31">
        <f>IF(21&gt;=21,SUMPRODUCT(B90:B110+C90:C110*160)/21,0)</f>
        <v/>
      </c>
      <c r="I110" s="31">
        <f>IF(H110&gt;0,G110/H110,0)</f>
        <v/>
      </c>
    </row>
    <row r="111">
      <c r="A111" s="26" t="inlineStr">
        <is>
          <t>2026-06-10</t>
        </is>
      </c>
      <c r="B111" s="27" t="n">
        <v>205</v>
      </c>
      <c r="C111" s="27" t="n">
        <v>0</v>
      </c>
      <c r="D111" s="28">
        <f>D110+B111</f>
        <v/>
      </c>
      <c r="E111" s="28">
        <f>E110+C111</f>
        <v/>
      </c>
      <c r="F111" s="28">
        <f>D111/160+E111</f>
        <v/>
      </c>
      <c r="G111" s="28">
        <f>MAX((80-F111)*160,0)</f>
        <v/>
      </c>
      <c r="H111" s="28">
        <f>IF(21&gt;=21,SUMPRODUCT(B91:B111+C91:C111*160)/21,0)</f>
        <v/>
      </c>
      <c r="I111" s="28">
        <f>IF(H111&gt;0,G111/H111,0)</f>
        <v/>
      </c>
    </row>
    <row r="112">
      <c r="A112" s="29" t="inlineStr">
        <is>
          <t>2026-06-11</t>
        </is>
      </c>
      <c r="B112" s="30" t="n">
        <v>185</v>
      </c>
      <c r="C112" s="30" t="n">
        <v>0</v>
      </c>
      <c r="D112" s="31">
        <f>D111+B112</f>
        <v/>
      </c>
      <c r="E112" s="31">
        <f>E111+C112</f>
        <v/>
      </c>
      <c r="F112" s="31">
        <f>D112/160+E112</f>
        <v/>
      </c>
      <c r="G112" s="31">
        <f>MAX((80-F112)*160,0)</f>
        <v/>
      </c>
      <c r="H112" s="31">
        <f>IF(21&gt;=21,SUMPRODUCT(B92:B112+C92:C112*160)/21,0)</f>
        <v/>
      </c>
      <c r="I112" s="31">
        <f>IF(H112&gt;0,G112/H112,0)</f>
        <v/>
      </c>
    </row>
    <row r="113">
      <c r="A113" s="26" t="inlineStr">
        <is>
          <t>2026-06-12</t>
        </is>
      </c>
      <c r="B113" s="27" t="n">
        <v>150</v>
      </c>
      <c r="C113" s="27" t="n">
        <v>0</v>
      </c>
      <c r="D113" s="28">
        <f>D112+B113</f>
        <v/>
      </c>
      <c r="E113" s="28">
        <f>E112+C113</f>
        <v/>
      </c>
      <c r="F113" s="28">
        <f>D113/160+E113</f>
        <v/>
      </c>
      <c r="G113" s="28">
        <f>MAX((80-F113)*160,0)</f>
        <v/>
      </c>
      <c r="H113" s="28">
        <f>IF(21&gt;=21,SUMPRODUCT(B93:B113+C93:C113*160)/21,0)</f>
        <v/>
      </c>
      <c r="I113" s="28">
        <f>IF(H113&gt;0,G113/H113,0)</f>
        <v/>
      </c>
    </row>
    <row r="114">
      <c r="A114" s="29" t="inlineStr">
        <is>
          <t>2026-06-13</t>
        </is>
      </c>
      <c r="B114" s="30" t="n">
        <v>150</v>
      </c>
      <c r="C114" s="30" t="n">
        <v>0</v>
      </c>
      <c r="D114" s="31">
        <f>D113+B114</f>
        <v/>
      </c>
      <c r="E114" s="31">
        <f>E113+C114</f>
        <v/>
      </c>
      <c r="F114" s="31">
        <f>D114/160+E114</f>
        <v/>
      </c>
      <c r="G114" s="31">
        <f>MAX((80-F114)*160,0)</f>
        <v/>
      </c>
      <c r="H114" s="31">
        <f>IF(21&gt;=21,SUMPRODUCT(B94:B114+C94:C114*160)/21,0)</f>
        <v/>
      </c>
      <c r="I114" s="31">
        <f>IF(H114&gt;0,G114/H114,0)</f>
        <v/>
      </c>
    </row>
    <row r="115">
      <c r="A115" s="26" t="inlineStr">
        <is>
          <t>2026-06-14</t>
        </is>
      </c>
      <c r="B115" s="27" t="n">
        <v>150</v>
      </c>
      <c r="C115" s="27" t="n">
        <v>0</v>
      </c>
      <c r="D115" s="28">
        <f>D114+B115</f>
        <v/>
      </c>
      <c r="E115" s="28">
        <f>E114+C115</f>
        <v/>
      </c>
      <c r="F115" s="28">
        <f>D115/160+E115</f>
        <v/>
      </c>
      <c r="G115" s="28">
        <f>MAX((80-F115)*160,0)</f>
        <v/>
      </c>
      <c r="H115" s="28">
        <f>IF(21&gt;=21,SUMPRODUCT(B95:B115+C95:C115*160)/21,0)</f>
        <v/>
      </c>
      <c r="I115" s="28">
        <f>IF(H115&gt;0,G115/H115,0)</f>
        <v/>
      </c>
    </row>
    <row r="116">
      <c r="A116" s="29" t="inlineStr">
        <is>
          <t>2026-06-15</t>
        </is>
      </c>
      <c r="B116" s="30" t="n">
        <v>495</v>
      </c>
      <c r="C116" s="30" t="n">
        <v>0</v>
      </c>
      <c r="D116" s="31">
        <f>D115+B116</f>
        <v/>
      </c>
      <c r="E116" s="31">
        <f>E115+C116</f>
        <v/>
      </c>
      <c r="F116" s="31">
        <f>D116/160+E116</f>
        <v/>
      </c>
      <c r="G116" s="31">
        <f>MAX((80-F116)*160,0)</f>
        <v/>
      </c>
      <c r="H116" s="31">
        <f>IF(21&gt;=21,SUMPRODUCT(B96:B116+C96:C116*160)/21,0)</f>
        <v/>
      </c>
      <c r="I116" s="31">
        <f>IF(H116&gt;0,G116/H116,0)</f>
        <v/>
      </c>
    </row>
    <row r="117">
      <c r="A117" s="26" t="inlineStr">
        <is>
          <t>2026-06-16</t>
        </is>
      </c>
      <c r="B117" s="27" t="n">
        <v>150</v>
      </c>
      <c r="C117" s="27" t="n">
        <v>0</v>
      </c>
      <c r="D117" s="28">
        <f>D116+B117</f>
        <v/>
      </c>
      <c r="E117" s="28">
        <f>E116+C117</f>
        <v/>
      </c>
      <c r="F117" s="28">
        <f>D117/160+E117</f>
        <v/>
      </c>
      <c r="G117" s="28">
        <f>MAX((80-F117)*160,0)</f>
        <v/>
      </c>
      <c r="H117" s="28">
        <f>IF(21&gt;=21,SUMPRODUCT(B97:B117+C97:C117*160)/21,0)</f>
        <v/>
      </c>
      <c r="I117" s="28">
        <f>IF(H117&gt;0,G117/H117,0)</f>
        <v/>
      </c>
    </row>
    <row r="118">
      <c r="A118" s="29" t="inlineStr">
        <is>
          <t>2026-06-17</t>
        </is>
      </c>
      <c r="B118" s="30" t="n">
        <v>90</v>
      </c>
      <c r="C118" s="30" t="n">
        <v>0</v>
      </c>
      <c r="D118" s="31">
        <f>D117+B118</f>
        <v/>
      </c>
      <c r="E118" s="31">
        <f>E117+C118</f>
        <v/>
      </c>
      <c r="F118" s="31">
        <f>D118/160+E118</f>
        <v/>
      </c>
      <c r="G118" s="31">
        <f>MAX((80-F118)*160,0)</f>
        <v/>
      </c>
      <c r="H118" s="31">
        <f>IF(21&gt;=21,SUMPRODUCT(B98:B118+C98:C118*160)/21,0)</f>
        <v/>
      </c>
      <c r="I118" s="31">
        <f>IF(H118&gt;0,G118/H118,0)</f>
        <v/>
      </c>
    </row>
    <row r="119">
      <c r="A119" s="26" t="inlineStr">
        <is>
          <t>2026-06-18</t>
        </is>
      </c>
      <c r="B119" s="27" t="n">
        <v>150</v>
      </c>
      <c r="C119" s="27" t="n">
        <v>0</v>
      </c>
      <c r="D119" s="28">
        <f>D118+B119</f>
        <v/>
      </c>
      <c r="E119" s="28">
        <f>E118+C119</f>
        <v/>
      </c>
      <c r="F119" s="28">
        <f>D119/160+E119</f>
        <v/>
      </c>
      <c r="G119" s="28">
        <f>MAX((80-F119)*160,0)</f>
        <v/>
      </c>
      <c r="H119" s="28">
        <f>IF(21&gt;=21,SUMPRODUCT(B99:B119+C99:C119*160)/21,0)</f>
        <v/>
      </c>
      <c r="I119" s="28">
        <f>IF(H119&gt;0,G119/H119,0)</f>
        <v/>
      </c>
    </row>
    <row r="120">
      <c r="A120" s="29" t="inlineStr">
        <is>
          <t>2026-06-19</t>
        </is>
      </c>
      <c r="B120" s="30" t="n">
        <v>240</v>
      </c>
      <c r="C120" s="30" t="n">
        <v>0</v>
      </c>
      <c r="D120" s="31">
        <f>D119+B120</f>
        <v/>
      </c>
      <c r="E120" s="31">
        <f>E119+C120</f>
        <v/>
      </c>
      <c r="F120" s="31">
        <f>D120/160+E120</f>
        <v/>
      </c>
      <c r="G120" s="31">
        <f>MAX((80-F120)*160,0)</f>
        <v/>
      </c>
      <c r="H120" s="31">
        <f>IF(21&gt;=21,SUMPRODUCT(B100:B120+C100:C120*160)/21,0)</f>
        <v/>
      </c>
      <c r="I120" s="31">
        <f>IF(H120&gt;0,G120/H120,0)</f>
        <v/>
      </c>
    </row>
    <row r="121">
      <c r="A121" s="26" t="inlineStr">
        <is>
          <t>2026-06-20</t>
        </is>
      </c>
      <c r="B121" s="27" t="n">
        <v>150</v>
      </c>
      <c r="C121" s="27" t="n">
        <v>0</v>
      </c>
      <c r="D121" s="28">
        <f>D120+B121</f>
        <v/>
      </c>
      <c r="E121" s="28">
        <f>E120+C121</f>
        <v/>
      </c>
      <c r="F121" s="28">
        <f>D121/160+E121</f>
        <v/>
      </c>
      <c r="G121" s="28">
        <f>MAX((80-F121)*160,0)</f>
        <v/>
      </c>
      <c r="H121" s="28">
        <f>IF(21&gt;=21,SUMPRODUCT(B101:B121+C101:C121*160)/21,0)</f>
        <v/>
      </c>
      <c r="I121" s="28">
        <f>IF(H121&gt;0,G121/H121,0)</f>
        <v/>
      </c>
    </row>
    <row r="122">
      <c r="A122" s="29" t="inlineStr">
        <is>
          <t>2026-06-21</t>
        </is>
      </c>
      <c r="B122" s="30" t="n">
        <v>150</v>
      </c>
      <c r="C122" s="30" t="n">
        <v>0</v>
      </c>
      <c r="D122" s="31">
        <f>D121+B122</f>
        <v/>
      </c>
      <c r="E122" s="31">
        <f>E121+C122</f>
        <v/>
      </c>
      <c r="F122" s="31">
        <f>D122/160+E122</f>
        <v/>
      </c>
      <c r="G122" s="31">
        <f>MAX((80-F122)*160,0)</f>
        <v/>
      </c>
      <c r="H122" s="31">
        <f>IF(21&gt;=21,SUMPRODUCT(B102:B122+C102:C122*160)/21,0)</f>
        <v/>
      </c>
      <c r="I122" s="31">
        <f>IF(H122&gt;0,G122/H122,0)</f>
        <v/>
      </c>
    </row>
    <row r="123">
      <c r="A123" s="26" t="inlineStr">
        <is>
          <t>2026-06-22</t>
        </is>
      </c>
      <c r="B123" s="27" t="n">
        <v>1275</v>
      </c>
      <c r="C123" s="27" t="n">
        <v>0</v>
      </c>
      <c r="D123" s="28">
        <f>D122+B123</f>
        <v/>
      </c>
      <c r="E123" s="28">
        <f>E122+C123</f>
        <v/>
      </c>
      <c r="F123" s="28">
        <f>D123/160+E123</f>
        <v/>
      </c>
      <c r="G123" s="28">
        <f>MAX((80-F123)*160,0)</f>
        <v/>
      </c>
      <c r="H123" s="28">
        <f>IF(21&gt;=21,SUMPRODUCT(B103:B123+C103:C123*160)/21,0)</f>
        <v/>
      </c>
      <c r="I123" s="28">
        <f>IF(H123&gt;0,G123/H123,0)</f>
        <v/>
      </c>
    </row>
    <row r="124">
      <c r="A124" s="29" t="inlineStr">
        <is>
          <t>2026-06-23</t>
        </is>
      </c>
      <c r="B124" s="30" t="n">
        <v>150</v>
      </c>
      <c r="C124" s="30" t="n">
        <v>0</v>
      </c>
      <c r="D124" s="31">
        <f>D123+B124</f>
        <v/>
      </c>
      <c r="E124" s="31">
        <f>E123+C124</f>
        <v/>
      </c>
      <c r="F124" s="31">
        <f>D124/160+E124</f>
        <v/>
      </c>
      <c r="G124" s="31">
        <f>MAX((80-F124)*160,0)</f>
        <v/>
      </c>
      <c r="H124" s="31">
        <f>IF(21&gt;=21,SUMPRODUCT(B104:B124+C104:C124*160)/21,0)</f>
        <v/>
      </c>
      <c r="I124" s="31">
        <f>IF(H124&gt;0,G124/H124,0)</f>
        <v/>
      </c>
    </row>
    <row r="125">
      <c r="A125" s="26" t="inlineStr">
        <is>
          <t>2026-06-24</t>
        </is>
      </c>
      <c r="B125" s="27" t="n">
        <v>150</v>
      </c>
      <c r="C125" s="27" t="n">
        <v>0</v>
      </c>
      <c r="D125" s="28">
        <f>D124+B125</f>
        <v/>
      </c>
      <c r="E125" s="28">
        <f>E124+C125</f>
        <v/>
      </c>
      <c r="F125" s="28">
        <f>D125/160+E125</f>
        <v/>
      </c>
      <c r="G125" s="28">
        <f>MAX((80-F125)*160,0)</f>
        <v/>
      </c>
      <c r="H125" s="28">
        <f>IF(21&gt;=21,SUMPRODUCT(B105:B125+C105:C125*160)/21,0)</f>
        <v/>
      </c>
      <c r="I125" s="28">
        <f>IF(H125&gt;0,G125/H125,0)</f>
        <v/>
      </c>
    </row>
    <row r="126">
      <c r="A126" s="29" t="inlineStr">
        <is>
          <t>2026-06-25</t>
        </is>
      </c>
      <c r="B126" s="30" t="n">
        <v>350</v>
      </c>
      <c r="C126" s="30" t="n">
        <v>0</v>
      </c>
      <c r="D126" s="31">
        <f>D125+B126</f>
        <v/>
      </c>
      <c r="E126" s="31">
        <f>E125+C126</f>
        <v/>
      </c>
      <c r="F126" s="31">
        <f>D126/160+E126</f>
        <v/>
      </c>
      <c r="G126" s="31">
        <f>MAX((80-F126)*160,0)</f>
        <v/>
      </c>
      <c r="H126" s="31">
        <f>IF(21&gt;=21,SUMPRODUCT(B106:B126+C106:C126*160)/21,0)</f>
        <v/>
      </c>
      <c r="I126" s="31">
        <f>IF(H126&gt;0,G126/H126,0)</f>
        <v/>
      </c>
    </row>
    <row r="127">
      <c r="A127" s="26" t="inlineStr">
        <is>
          <t>2026-06-26</t>
        </is>
      </c>
      <c r="B127" s="27" t="n">
        <v>150</v>
      </c>
      <c r="C127" s="27" t="n">
        <v>0</v>
      </c>
      <c r="D127" s="28">
        <f>D126+B127</f>
        <v/>
      </c>
      <c r="E127" s="28">
        <f>E126+C127</f>
        <v/>
      </c>
      <c r="F127" s="28">
        <f>D127/160+E127</f>
        <v/>
      </c>
      <c r="G127" s="28">
        <f>MAX((80-F127)*160,0)</f>
        <v/>
      </c>
      <c r="H127" s="28">
        <f>IF(21&gt;=21,SUMPRODUCT(B107:B127+C107:C127*160)/21,0)</f>
        <v/>
      </c>
      <c r="I127" s="28">
        <f>IF(H127&gt;0,G127/H127,0)</f>
        <v/>
      </c>
    </row>
    <row r="128">
      <c r="A128" s="29" t="inlineStr">
        <is>
          <t>2026-06-27</t>
        </is>
      </c>
      <c r="B128" s="30" t="n">
        <v>150</v>
      </c>
      <c r="C128" s="30" t="n">
        <v>0</v>
      </c>
      <c r="D128" s="31">
        <f>D127+B128</f>
        <v/>
      </c>
      <c r="E128" s="31">
        <f>E127+C128</f>
        <v/>
      </c>
      <c r="F128" s="31">
        <f>D128/160+E128</f>
        <v/>
      </c>
      <c r="G128" s="31">
        <f>MAX((80-F128)*160,0)</f>
        <v/>
      </c>
      <c r="H128" s="31">
        <f>IF(21&gt;=21,SUMPRODUCT(B108:B128+C108:C128*160)/21,0)</f>
        <v/>
      </c>
      <c r="I128" s="31">
        <f>IF(H128&gt;0,G128/H128,0)</f>
        <v/>
      </c>
    </row>
    <row r="129">
      <c r="A129" s="26" t="inlineStr">
        <is>
          <t>2026-06-28</t>
        </is>
      </c>
      <c r="B129" s="27" t="n">
        <v>150</v>
      </c>
      <c r="C129" s="27" t="n">
        <v>0</v>
      </c>
      <c r="D129" s="28">
        <f>D128+B129</f>
        <v/>
      </c>
      <c r="E129" s="28">
        <f>E128+C129</f>
        <v/>
      </c>
      <c r="F129" s="28">
        <f>D129/160+E129</f>
        <v/>
      </c>
      <c r="G129" s="28">
        <f>MAX((80-F129)*160,0)</f>
        <v/>
      </c>
      <c r="H129" s="28">
        <f>IF(21&gt;=21,SUMPRODUCT(B109:B129+C109:C129*160)/21,0)</f>
        <v/>
      </c>
      <c r="I129" s="28">
        <f>IF(H129&gt;0,G129/H129,0)</f>
        <v/>
      </c>
    </row>
    <row r="130">
      <c r="A130" s="29" t="inlineStr">
        <is>
          <t>2026-06-29</t>
        </is>
      </c>
      <c r="B130" s="30" t="n">
        <v>495</v>
      </c>
      <c r="C130" s="30" t="n">
        <v>0</v>
      </c>
      <c r="D130" s="31">
        <f>D129+B130</f>
        <v/>
      </c>
      <c r="E130" s="31">
        <f>E129+C130</f>
        <v/>
      </c>
      <c r="F130" s="31">
        <f>D130/160+E130</f>
        <v/>
      </c>
      <c r="G130" s="31">
        <f>MAX((80-F130)*160,0)</f>
        <v/>
      </c>
      <c r="H130" s="31">
        <f>IF(21&gt;=21,SUMPRODUCT(B110:B130+C110:C130*160)/21,0)</f>
        <v/>
      </c>
      <c r="I130" s="31">
        <f>IF(H130&gt;0,G130/H130,0)</f>
        <v/>
      </c>
    </row>
    <row r="131">
      <c r="A131" s="26" t="inlineStr">
        <is>
          <t>2026-06-30</t>
        </is>
      </c>
      <c r="B131" s="27" t="n">
        <v>150</v>
      </c>
      <c r="C131" s="27" t="n">
        <v>0</v>
      </c>
      <c r="D131" s="28">
        <f>D130+B131</f>
        <v/>
      </c>
      <c r="E131" s="28">
        <f>E130+C131</f>
        <v/>
      </c>
      <c r="F131" s="28">
        <f>D131/160+E131</f>
        <v/>
      </c>
      <c r="G131" s="28">
        <f>MAX((80-F131)*160,0)</f>
        <v/>
      </c>
      <c r="H131" s="28">
        <f>IF(21&gt;=21,SUMPRODUCT(B111:B131+C111:C131*160)/21,0)</f>
        <v/>
      </c>
      <c r="I131" s="28">
        <f>IF(H131&gt;0,G131/H131,0)</f>
        <v/>
      </c>
    </row>
    <row r="132">
      <c r="A132" s="29" t="inlineStr">
        <is>
          <t>2026-07-01</t>
        </is>
      </c>
      <c r="B132" s="30" t="n">
        <v>360</v>
      </c>
      <c r="C132" s="30" t="n">
        <v>0</v>
      </c>
      <c r="D132" s="31">
        <f>D131+B132</f>
        <v/>
      </c>
      <c r="E132" s="31">
        <f>E131+C132</f>
        <v/>
      </c>
      <c r="F132" s="31">
        <f>D132/160+E132</f>
        <v/>
      </c>
      <c r="G132" s="31">
        <f>MAX((80-F132)*160,0)</f>
        <v/>
      </c>
      <c r="H132" s="31">
        <f>IF(21&gt;=21,SUMPRODUCT(B112:B132+C112:C132*160)/21,0)</f>
        <v/>
      </c>
      <c r="I132" s="31">
        <f>IF(H132&gt;0,G132/H132,0)</f>
        <v/>
      </c>
    </row>
    <row r="133">
      <c r="A133" s="26" t="inlineStr">
        <is>
          <t>2026-07-02</t>
        </is>
      </c>
      <c r="B133" s="27" t="n">
        <v>150</v>
      </c>
      <c r="C133" s="27" t="n">
        <v>0</v>
      </c>
      <c r="D133" s="28">
        <f>D132+B133</f>
        <v/>
      </c>
      <c r="E133" s="28">
        <f>E132+C133</f>
        <v/>
      </c>
      <c r="F133" s="28">
        <f>D133/160+E133</f>
        <v/>
      </c>
      <c r="G133" s="28">
        <f>MAX((80-F133)*160,0)</f>
        <v/>
      </c>
      <c r="H133" s="28">
        <f>IF(21&gt;=21,SUMPRODUCT(B113:B133+C113:C133*160)/21,0)</f>
        <v/>
      </c>
      <c r="I133" s="28">
        <f>IF(H133&gt;0,G133/H133,0)</f>
        <v/>
      </c>
    </row>
    <row r="134">
      <c r="A134" s="29" t="inlineStr">
        <is>
          <t>2026-07-03</t>
        </is>
      </c>
      <c r="B134" s="30" t="n">
        <v>450</v>
      </c>
      <c r="C134" s="30" t="n">
        <v>0</v>
      </c>
      <c r="D134" s="31">
        <f>D133+B134</f>
        <v/>
      </c>
      <c r="E134" s="31">
        <f>E133+C134</f>
        <v/>
      </c>
      <c r="F134" s="31">
        <f>D134/160+E134</f>
        <v/>
      </c>
      <c r="G134" s="31">
        <f>MAX((80-F134)*160,0)</f>
        <v/>
      </c>
      <c r="H134" s="31">
        <f>IF(21&gt;=21,SUMPRODUCT(B114:B134+C114:C134*160)/21,0)</f>
        <v/>
      </c>
      <c r="I134" s="31">
        <f>IF(H134&gt;0,G134/H134,0)</f>
        <v/>
      </c>
    </row>
    <row r="135">
      <c r="A135" s="26" t="inlineStr">
        <is>
          <t>2026-07-04</t>
        </is>
      </c>
      <c r="B135" s="27" t="n">
        <v>150</v>
      </c>
      <c r="C135" s="27" t="n">
        <v>0</v>
      </c>
      <c r="D135" s="28">
        <f>D134+B135</f>
        <v/>
      </c>
      <c r="E135" s="28">
        <f>E134+C135</f>
        <v/>
      </c>
      <c r="F135" s="28">
        <f>D135/160+E135</f>
        <v/>
      </c>
      <c r="G135" s="28">
        <f>MAX((80-F135)*160,0)</f>
        <v/>
      </c>
      <c r="H135" s="28">
        <f>IF(21&gt;=21,SUMPRODUCT(B115:B135+C115:C135*160)/21,0)</f>
        <v/>
      </c>
      <c r="I135" s="28">
        <f>IF(H135&gt;0,G135/H135,0)</f>
        <v/>
      </c>
    </row>
    <row r="136">
      <c r="A136" s="29" t="inlineStr">
        <is>
          <t>2026-07-05</t>
        </is>
      </c>
      <c r="B136" s="30" t="n">
        <v>170</v>
      </c>
      <c r="C136" s="30" t="n">
        <v>0</v>
      </c>
      <c r="D136" s="31">
        <f>D135+B136</f>
        <v/>
      </c>
      <c r="E136" s="31">
        <f>E135+C136</f>
        <v/>
      </c>
      <c r="F136" s="31">
        <f>D136/160+E136</f>
        <v/>
      </c>
      <c r="G136" s="31">
        <f>MAX((80-F136)*160,0)</f>
        <v/>
      </c>
      <c r="H136" s="31">
        <f>IF(21&gt;=21,SUMPRODUCT(B116:B136+C116:C136*160)/21,0)</f>
        <v/>
      </c>
      <c r="I136" s="31">
        <f>IF(H136&gt;0,G136/H136,0)</f>
        <v/>
      </c>
    </row>
    <row r="137">
      <c r="A137" s="26" t="inlineStr">
        <is>
          <t>2026-07-06</t>
        </is>
      </c>
      <c r="B137" s="27" t="n">
        <v>870</v>
      </c>
      <c r="C137" s="27" t="n">
        <v>0</v>
      </c>
      <c r="D137" s="28">
        <f>D136+B137</f>
        <v/>
      </c>
      <c r="E137" s="28">
        <f>E136+C137</f>
        <v/>
      </c>
      <c r="F137" s="28">
        <f>D137/160+E137</f>
        <v/>
      </c>
      <c r="G137" s="28">
        <f>MAX((80-F137)*160,0)</f>
        <v/>
      </c>
      <c r="H137" s="28">
        <f>IF(21&gt;=21,SUMPRODUCT(B117:B137+C117:C137*160)/21,0)</f>
        <v/>
      </c>
      <c r="I137" s="28">
        <f>IF(H137&gt;0,G137/H137,0)</f>
        <v/>
      </c>
    </row>
    <row r="138">
      <c r="A138" s="29" t="inlineStr">
        <is>
          <t>2026-07-07</t>
        </is>
      </c>
      <c r="B138" s="30" t="n">
        <v>155</v>
      </c>
      <c r="C138" s="30" t="n">
        <v>0</v>
      </c>
      <c r="D138" s="31">
        <f>D137+B138</f>
        <v/>
      </c>
      <c r="E138" s="31">
        <f>E137+C138</f>
        <v/>
      </c>
      <c r="F138" s="31">
        <f>D138/160+E138</f>
        <v/>
      </c>
      <c r="G138" s="31">
        <f>MAX((80-F138)*160,0)</f>
        <v/>
      </c>
      <c r="H138" s="31">
        <f>IF(21&gt;=21,SUMPRODUCT(B118:B138+C118:C138*160)/21,0)</f>
        <v/>
      </c>
      <c r="I138" s="31">
        <f>IF(H138&gt;0,G138/H138,0)</f>
        <v/>
      </c>
    </row>
    <row r="139">
      <c r="A139" s="26" t="inlineStr">
        <is>
          <t>2026-07-08</t>
        </is>
      </c>
      <c r="B139" s="27" t="n">
        <v>150</v>
      </c>
      <c r="C139" s="27" t="n">
        <v>0</v>
      </c>
      <c r="D139" s="28">
        <f>D138+B139</f>
        <v/>
      </c>
      <c r="E139" s="28">
        <f>E138+C139</f>
        <v/>
      </c>
      <c r="F139" s="28">
        <f>D139/160+E139</f>
        <v/>
      </c>
      <c r="G139" s="28">
        <f>MAX((80-F139)*160,0)</f>
        <v/>
      </c>
      <c r="H139" s="28">
        <f>IF(21&gt;=21,SUMPRODUCT(B119:B139+C119:C139*160)/21,0)</f>
        <v/>
      </c>
      <c r="I139" s="28">
        <f>IF(H139&gt;0,G139/H139,0)</f>
        <v/>
      </c>
    </row>
    <row r="140">
      <c r="A140" s="29" t="inlineStr">
        <is>
          <t>2026-07-09</t>
        </is>
      </c>
      <c r="B140" s="30" t="n">
        <v>150</v>
      </c>
      <c r="C140" s="30" t="n">
        <v>0</v>
      </c>
      <c r="D140" s="31">
        <f>D139+B140</f>
        <v/>
      </c>
      <c r="E140" s="31">
        <f>E139+C140</f>
        <v/>
      </c>
      <c r="F140" s="31">
        <f>D140/160+E140</f>
        <v/>
      </c>
      <c r="G140" s="31">
        <f>MAX((80-F140)*160,0)</f>
        <v/>
      </c>
      <c r="H140" s="31">
        <f>IF(21&gt;=21,SUMPRODUCT(B120:B140+C120:C140*160)/21,0)</f>
        <v/>
      </c>
      <c r="I140" s="31">
        <f>IF(H140&gt;0,G140/H140,0)</f>
        <v/>
      </c>
    </row>
    <row r="141">
      <c r="A141" s="26" t="inlineStr">
        <is>
          <t>2026-07-10</t>
        </is>
      </c>
      <c r="B141" s="27" t="n">
        <v>150</v>
      </c>
      <c r="C141" s="27" t="n">
        <v>0</v>
      </c>
      <c r="D141" s="28">
        <f>D140+B141</f>
        <v/>
      </c>
      <c r="E141" s="28">
        <f>E140+C141</f>
        <v/>
      </c>
      <c r="F141" s="28">
        <f>D141/160+E141</f>
        <v/>
      </c>
      <c r="G141" s="28">
        <f>MAX((80-F141)*160,0)</f>
        <v/>
      </c>
      <c r="H141" s="28">
        <f>IF(21&gt;=21,SUMPRODUCT(B121:B141+C121:C141*160)/21,0)</f>
        <v/>
      </c>
      <c r="I141" s="28">
        <f>IF(H141&gt;0,G141/H141,0)</f>
        <v/>
      </c>
    </row>
    <row r="142">
      <c r="A142" s="29" t="inlineStr">
        <is>
          <t>2026-07-11</t>
        </is>
      </c>
      <c r="B142" s="30" t="n">
        <v>150</v>
      </c>
      <c r="C142" s="30" t="n">
        <v>0</v>
      </c>
      <c r="D142" s="31">
        <f>D141+B142</f>
        <v/>
      </c>
      <c r="E142" s="31">
        <f>E141+C142</f>
        <v/>
      </c>
      <c r="F142" s="31">
        <f>D142/160+E142</f>
        <v/>
      </c>
      <c r="G142" s="31">
        <f>MAX((80-F142)*160,0)</f>
        <v/>
      </c>
      <c r="H142" s="31">
        <f>IF(21&gt;=21,SUMPRODUCT(B122:B142+C122:C142*160)/21,0)</f>
        <v/>
      </c>
      <c r="I142" s="31">
        <f>IF(H142&gt;0,G142/H142,0)</f>
        <v/>
      </c>
    </row>
    <row r="143">
      <c r="A143" s="26" t="inlineStr">
        <is>
          <t>2026-07-12</t>
        </is>
      </c>
      <c r="B143" s="27" t="n">
        <v>150</v>
      </c>
      <c r="C143" s="27" t="n">
        <v>0</v>
      </c>
      <c r="D143" s="28">
        <f>D142+B143</f>
        <v/>
      </c>
      <c r="E143" s="28">
        <f>E142+C143</f>
        <v/>
      </c>
      <c r="F143" s="28">
        <f>D143/160+E143</f>
        <v/>
      </c>
      <c r="G143" s="28">
        <f>MAX((80-F143)*160,0)</f>
        <v/>
      </c>
      <c r="H143" s="28">
        <f>IF(21&gt;=21,SUMPRODUCT(B123:B143+C123:C143*160)/21,0)</f>
        <v/>
      </c>
      <c r="I143" s="28">
        <f>IF(H143&gt;0,G143/H143,0)</f>
        <v/>
      </c>
    </row>
    <row r="144">
      <c r="A144" s="29" t="inlineStr">
        <is>
          <t>2026-07-13</t>
        </is>
      </c>
      <c r="B144" s="30" t="n">
        <v>150</v>
      </c>
      <c r="C144" s="30" t="n">
        <v>0</v>
      </c>
      <c r="D144" s="31">
        <f>D143+B144</f>
        <v/>
      </c>
      <c r="E144" s="31">
        <f>E143+C144</f>
        <v/>
      </c>
      <c r="F144" s="31">
        <f>D144/160+E144</f>
        <v/>
      </c>
      <c r="G144" s="31">
        <f>MAX((80-F144)*160,0)</f>
        <v/>
      </c>
      <c r="H144" s="31">
        <f>IF(21&gt;=21,SUMPRODUCT(B124:B144+C124:C144*160)/21,0)</f>
        <v/>
      </c>
      <c r="I144" s="31">
        <f>IF(H144&gt;0,G144/H144,0)</f>
        <v/>
      </c>
    </row>
    <row r="145">
      <c r="A145" s="26" t="inlineStr">
        <is>
          <t>2026-07-14</t>
        </is>
      </c>
      <c r="B145" s="27" t="n">
        <v>375</v>
      </c>
      <c r="C145" s="27" t="n">
        <v>0</v>
      </c>
      <c r="D145" s="28">
        <f>D144+B145</f>
        <v/>
      </c>
      <c r="E145" s="28">
        <f>E144+C145</f>
        <v/>
      </c>
      <c r="F145" s="28">
        <f>D145/160+E145</f>
        <v/>
      </c>
      <c r="G145" s="28">
        <f>MAX((80-F145)*160,0)</f>
        <v/>
      </c>
      <c r="H145" s="28">
        <f>IF(21&gt;=21,SUMPRODUCT(B125:B145+C125:C145*160)/21,0)</f>
        <v/>
      </c>
      <c r="I145" s="28">
        <f>IF(H145&gt;0,G145/H145,0)</f>
        <v/>
      </c>
    </row>
    <row r="146">
      <c r="A146" s="29" t="inlineStr">
        <is>
          <t>2026-07-15</t>
        </is>
      </c>
      <c r="B146" s="30" t="n">
        <v>845</v>
      </c>
      <c r="C146" s="30" t="n">
        <v>0</v>
      </c>
      <c r="D146" s="31">
        <f>D145+B146</f>
        <v/>
      </c>
      <c r="E146" s="31">
        <f>E145+C146</f>
        <v/>
      </c>
      <c r="F146" s="31">
        <f>D146/160+E146</f>
        <v/>
      </c>
      <c r="G146" s="31">
        <f>MAX((80-F146)*160,0)</f>
        <v/>
      </c>
      <c r="H146" s="31">
        <f>IF(21&gt;=21,SUMPRODUCT(B126:B146+C126:C146*160)/21,0)</f>
        <v/>
      </c>
      <c r="I146" s="31">
        <f>IF(H146&gt;0,G146/H146,0)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2026-07-15T18:35:39Z</dcterms:modified>
  <cp:lastModifiedBy>Rianna Santra</cp:lastModifiedBy>
</cp:coreProperties>
</file>