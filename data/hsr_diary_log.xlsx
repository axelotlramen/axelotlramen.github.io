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3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  <row r="157">
      <c r="A157" s="26" t="inlineStr">
        <is>
          <t>2026-07-26</t>
        </is>
      </c>
      <c r="B157" s="27" t="n">
        <v>155</v>
      </c>
      <c r="C157" s="27" t="n">
        <v>0</v>
      </c>
      <c r="D157" s="28">
        <f>D156+B157</f>
        <v/>
      </c>
      <c r="E157" s="28">
        <f>E156+C157</f>
        <v/>
      </c>
      <c r="F157" s="28">
        <f>D157/160+E157</f>
        <v/>
      </c>
      <c r="G157" s="28">
        <f>MAX((80-F157)*160,0)</f>
        <v/>
      </c>
      <c r="H157" s="28">
        <f>IF(21&gt;=21,SUMPRODUCT(B137:B157+C137:C157*160)/21,0)</f>
        <v/>
      </c>
      <c r="I157" s="28">
        <f>IF(H157&gt;0,G157/H157,0)</f>
        <v/>
      </c>
    </row>
    <row r="158">
      <c r="A158" s="29" t="inlineStr">
        <is>
          <t>2026-07-27</t>
        </is>
      </c>
      <c r="B158" s="30" t="n">
        <v>170</v>
      </c>
      <c r="C158" s="30" t="n">
        <v>0</v>
      </c>
      <c r="D158" s="31">
        <f>D157+B158</f>
        <v/>
      </c>
      <c r="E158" s="31">
        <f>E157+C158</f>
        <v/>
      </c>
      <c r="F158" s="31">
        <f>D158/160+E158</f>
        <v/>
      </c>
      <c r="G158" s="31">
        <f>MAX((80-F158)*160,0)</f>
        <v/>
      </c>
      <c r="H158" s="31">
        <f>IF(21&gt;=21,SUMPRODUCT(B138:B158+C138:C158*160)/21,0)</f>
        <v/>
      </c>
      <c r="I158" s="31">
        <f>IF(H158&gt;0,G158/H158,0)</f>
        <v/>
      </c>
    </row>
    <row r="159">
      <c r="A159" s="26" t="inlineStr">
        <is>
          <t>2026-07-28</t>
        </is>
      </c>
      <c r="B159" s="27" t="n">
        <v>520</v>
      </c>
      <c r="C159" s="27" t="n">
        <v>0</v>
      </c>
      <c r="D159" s="28">
        <f>D158+B159</f>
        <v/>
      </c>
      <c r="E159" s="28">
        <f>E158+C159</f>
        <v/>
      </c>
      <c r="F159" s="28">
        <f>D159/160+E159</f>
        <v/>
      </c>
      <c r="G159" s="28">
        <f>MAX((80-F159)*160,0)</f>
        <v/>
      </c>
      <c r="H159" s="28">
        <f>IF(21&gt;=21,SUMPRODUCT(B139:B159+C139:C159*160)/21,0)</f>
        <v/>
      </c>
      <c r="I159" s="28">
        <f>IF(H159&gt;0,G159/H159,0)</f>
        <v/>
      </c>
    </row>
    <row r="160">
      <c r="A160" s="29" t="inlineStr">
        <is>
          <t>2026-07-29</t>
        </is>
      </c>
      <c r="B160" s="30" t="n">
        <v>150</v>
      </c>
      <c r="C160" s="30" t="n">
        <v>0</v>
      </c>
      <c r="D160" s="31">
        <f>D159+B160</f>
        <v/>
      </c>
      <c r="E160" s="31">
        <f>E159+C160</f>
        <v/>
      </c>
      <c r="F160" s="31">
        <f>D160/160+E160</f>
        <v/>
      </c>
      <c r="G160" s="31">
        <f>MAX((80-F160)*160,0)</f>
        <v/>
      </c>
      <c r="H160" s="31">
        <f>IF(21&gt;=21,SUMPRODUCT(B140:B160+C140:C160*160)/21,0)</f>
        <v/>
      </c>
      <c r="I160" s="31">
        <f>IF(H160&gt;0,G160/H160,0)</f>
        <v/>
      </c>
    </row>
    <row r="161">
      <c r="A161" s="26" t="inlineStr">
        <is>
          <t>2026-07-30</t>
        </is>
      </c>
      <c r="B161" s="27" t="n">
        <v>150</v>
      </c>
      <c r="C161" s="27" t="n">
        <v>0</v>
      </c>
      <c r="D161" s="28">
        <f>D160+B161</f>
        <v/>
      </c>
      <c r="E161" s="28">
        <f>E160+C161</f>
        <v/>
      </c>
      <c r="F161" s="28">
        <f>D161/160+E161</f>
        <v/>
      </c>
      <c r="G161" s="28">
        <f>MAX((80-F161)*160,0)</f>
        <v/>
      </c>
      <c r="H161" s="28">
        <f>IF(21&gt;=21,SUMPRODUCT(B141:B161+C141:C161*160)/21,0)</f>
        <v/>
      </c>
      <c r="I161" s="28">
        <f>IF(H161&gt;0,G161/H161,0)</f>
        <v/>
      </c>
    </row>
    <row r="162">
      <c r="A162" s="29" t="inlineStr">
        <is>
          <t>2026-07-31</t>
        </is>
      </c>
      <c r="B162" s="30" t="n">
        <v>325</v>
      </c>
      <c r="C162" s="30" t="n">
        <v>0</v>
      </c>
      <c r="D162" s="31">
        <f>D161+B162</f>
        <v/>
      </c>
      <c r="E162" s="31">
        <f>E161+C162</f>
        <v/>
      </c>
      <c r="F162" s="31">
        <f>D162/160+E162</f>
        <v/>
      </c>
      <c r="G162" s="31">
        <f>MAX((80-F162)*160,0)</f>
        <v/>
      </c>
      <c r="H162" s="31">
        <f>IF(21&gt;=21,SUMPRODUCT(B142:B162+C142:C162*160)/21,0)</f>
        <v/>
      </c>
      <c r="I162" s="31">
        <f>IF(H162&gt;0,G162/H162,0)</f>
        <v/>
      </c>
    </row>
    <row r="163">
      <c r="A163" s="26" t="inlineStr">
        <is>
          <t>2026-08-01</t>
        </is>
      </c>
      <c r="B163" s="27" t="n">
        <v>150</v>
      </c>
      <c r="C163" s="27" t="n">
        <v>0</v>
      </c>
      <c r="D163" s="28">
        <f>D162+B163</f>
        <v/>
      </c>
      <c r="E163" s="28">
        <f>E162+C163</f>
        <v/>
      </c>
      <c r="F163" s="28">
        <f>D163/160+E163</f>
        <v/>
      </c>
      <c r="G163" s="28">
        <f>MAX((80-F163)*160,0)</f>
        <v/>
      </c>
      <c r="H163" s="28">
        <f>IF(21&gt;=21,SUMPRODUCT(B143:B163+C143:C163*160)/21,0)</f>
        <v/>
      </c>
      <c r="I163" s="28">
        <f>IF(H163&gt;0,G163/H163,0)</f>
        <v/>
      </c>
    </row>
    <row r="164">
      <c r="A164" s="29" t="inlineStr">
        <is>
          <t>2026-08-02</t>
        </is>
      </c>
      <c r="B164" s="30" t="n">
        <v>150</v>
      </c>
      <c r="C164" s="30" t="n">
        <v>0</v>
      </c>
      <c r="D164" s="31">
        <f>D163+B164</f>
        <v/>
      </c>
      <c r="E164" s="31">
        <f>E163+C164</f>
        <v/>
      </c>
      <c r="F164" s="31">
        <f>D164/160+E164</f>
        <v/>
      </c>
      <c r="G164" s="31">
        <f>MAX((80-F164)*160,0)</f>
        <v/>
      </c>
      <c r="H164" s="31">
        <f>IF(21&gt;=21,SUMPRODUCT(B144:B164+C144:C164*160)/21,0)</f>
        <v/>
      </c>
      <c r="I164" s="31">
        <f>IF(H164&gt;0,G164/H164,0)</f>
        <v/>
      </c>
    </row>
    <row r="165">
      <c r="A165" s="26" t="inlineStr">
        <is>
          <t>2026-08-03</t>
        </is>
      </c>
      <c r="B165" s="27" t="n">
        <v>1050</v>
      </c>
      <c r="C165" s="27" t="n">
        <v>0</v>
      </c>
      <c r="D165" s="28">
        <f>D164+B165</f>
        <v/>
      </c>
      <c r="E165" s="28">
        <f>E164+C165</f>
        <v/>
      </c>
      <c r="F165" s="28">
        <f>D165/160+E165</f>
        <v/>
      </c>
      <c r="G165" s="28">
        <f>MAX((80-F165)*160,0)</f>
        <v/>
      </c>
      <c r="H165" s="28">
        <f>IF(21&gt;=21,SUMPRODUCT(B145:B165+C145:C165*160)/21,0)</f>
        <v/>
      </c>
      <c r="I165" s="28">
        <f>IF(H165&gt;0,G165/H165,0)</f>
        <v/>
      </c>
    </row>
    <row r="166">
      <c r="A166" s="29" t="inlineStr">
        <is>
          <t>2026-08-04</t>
        </is>
      </c>
      <c r="B166" s="30" t="n">
        <v>170</v>
      </c>
      <c r="C166" s="30" t="n">
        <v>0</v>
      </c>
      <c r="D166" s="31">
        <f>D165+B166</f>
        <v/>
      </c>
      <c r="E166" s="31">
        <f>E165+C166</f>
        <v/>
      </c>
      <c r="F166" s="31">
        <f>D166/160+E166</f>
        <v/>
      </c>
      <c r="G166" s="31">
        <f>MAX((80-F166)*160,0)</f>
        <v/>
      </c>
      <c r="H166" s="31">
        <f>IF(21&gt;=21,SUMPRODUCT(B146:B166+C146:C166*160)/21,0)</f>
        <v/>
      </c>
      <c r="I166" s="31">
        <f>IF(H166&gt;0,G166/H166,0)</f>
        <v/>
      </c>
    </row>
    <row r="167">
      <c r="A167" s="26" t="inlineStr">
        <is>
          <t>2026-08-05</t>
        </is>
      </c>
      <c r="B167" s="27" t="n">
        <v>150</v>
      </c>
      <c r="C167" s="27" t="n">
        <v>0</v>
      </c>
      <c r="D167" s="28">
        <f>D166+B167</f>
        <v/>
      </c>
      <c r="E167" s="28">
        <f>E166+C167</f>
        <v/>
      </c>
      <c r="F167" s="28">
        <f>D167/160+E167</f>
        <v/>
      </c>
      <c r="G167" s="28">
        <f>MAX((80-F167)*160,0)</f>
        <v/>
      </c>
      <c r="H167" s="28">
        <f>IF(21&gt;=21,SUMPRODUCT(B147:B167+C147:C167*160)/21,0)</f>
        <v/>
      </c>
      <c r="I167" s="28">
        <f>IF(H167&gt;0,G167/H167,0)</f>
        <v/>
      </c>
    </row>
    <row r="168">
      <c r="A168" s="29" t="inlineStr">
        <is>
          <t>2026-08-06</t>
        </is>
      </c>
      <c r="B168" s="30" t="n">
        <v>150</v>
      </c>
      <c r="C168" s="30" t="n">
        <v>0</v>
      </c>
      <c r="D168" s="31">
        <f>D167+B168</f>
        <v/>
      </c>
      <c r="E168" s="31">
        <f>E167+C168</f>
        <v/>
      </c>
      <c r="F168" s="31">
        <f>D168/160+E168</f>
        <v/>
      </c>
      <c r="G168" s="31">
        <f>MAX((80-F168)*160,0)</f>
        <v/>
      </c>
      <c r="H168" s="31">
        <f>IF(21&gt;=21,SUMPRODUCT(B148:B168+C148:C168*160)/21,0)</f>
        <v/>
      </c>
      <c r="I168" s="31">
        <f>IF(H168&gt;0,G168/H168,0)</f>
        <v/>
      </c>
    </row>
    <row r="169">
      <c r="A169" s="26" t="inlineStr">
        <is>
          <t>2026-08-07</t>
        </is>
      </c>
      <c r="B169" s="27" t="n">
        <v>0</v>
      </c>
      <c r="C169" s="27" t="n">
        <v>0</v>
      </c>
      <c r="D169" s="28">
        <f>D168+B169</f>
        <v/>
      </c>
      <c r="E169" s="28">
        <f>E168+C169</f>
        <v/>
      </c>
      <c r="F169" s="28">
        <f>D169/160+E169</f>
        <v/>
      </c>
      <c r="G169" s="28">
        <f>MAX((80-F169)*160,0)</f>
        <v/>
      </c>
      <c r="H169" s="28">
        <f>IF(21&gt;=21,SUMPRODUCT(B149:B169+C149:C169*160)/21,0)</f>
        <v/>
      </c>
      <c r="I169" s="28">
        <f>IF(H169&gt;0,G169/H169,0)</f>
        <v/>
      </c>
    </row>
    <row r="170">
      <c r="A170" s="29" t="inlineStr">
        <is>
          <t>2026-08-08</t>
        </is>
      </c>
      <c r="B170" s="30" t="n">
        <v>150</v>
      </c>
      <c r="C170" s="30" t="n">
        <v>0</v>
      </c>
      <c r="D170" s="31">
        <f>D169+B170</f>
        <v/>
      </c>
      <c r="E170" s="31">
        <f>E169+C170</f>
        <v/>
      </c>
      <c r="F170" s="31">
        <f>D170/160+E170</f>
        <v/>
      </c>
      <c r="G170" s="31">
        <f>MAX((80-F170)*160,0)</f>
        <v/>
      </c>
      <c r="H170" s="31">
        <f>IF(21&gt;=21,SUMPRODUCT(B150:B170+C150:C170*160)/21,0)</f>
        <v/>
      </c>
      <c r="I170" s="31">
        <f>IF(H170&gt;0,G170/H170,0)</f>
        <v/>
      </c>
    </row>
    <row r="171">
      <c r="A171" s="26" t="inlineStr">
        <is>
          <t>2026-08-09</t>
        </is>
      </c>
      <c r="B171" s="27" t="n">
        <v>150</v>
      </c>
      <c r="C171" s="27" t="n">
        <v>0</v>
      </c>
      <c r="D171" s="28">
        <f>D170+B171</f>
        <v/>
      </c>
      <c r="E171" s="28">
        <f>E170+C171</f>
        <v/>
      </c>
      <c r="F171" s="28">
        <f>D171/160+E171</f>
        <v/>
      </c>
      <c r="G171" s="28">
        <f>MAX((80-F171)*160,0)</f>
        <v/>
      </c>
      <c r="H171" s="28">
        <f>IF(21&gt;=21,SUMPRODUCT(B151:B171+C151:C171*160)/21,0)</f>
        <v/>
      </c>
      <c r="I171" s="28">
        <f>IF(H171&gt;0,G171/H171,0)</f>
        <v/>
      </c>
    </row>
    <row r="172">
      <c r="A172" s="29" t="inlineStr">
        <is>
          <t>2026-08-10</t>
        </is>
      </c>
      <c r="B172" s="30" t="n">
        <v>150</v>
      </c>
      <c r="C172" s="30" t="n">
        <v>0</v>
      </c>
      <c r="D172" s="31">
        <f>D171+B172</f>
        <v/>
      </c>
      <c r="E172" s="31">
        <f>E171+C172</f>
        <v/>
      </c>
      <c r="F172" s="31">
        <f>D172/160+E172</f>
        <v/>
      </c>
      <c r="G172" s="31">
        <f>MAX((80-F172)*160,0)</f>
        <v/>
      </c>
      <c r="H172" s="31">
        <f>IF(21&gt;=21,SUMPRODUCT(B152:B172+C152:C172*160)/21,0)</f>
        <v/>
      </c>
      <c r="I172" s="31">
        <f>IF(H172&gt;0,G172/H172,0)</f>
        <v/>
      </c>
    </row>
    <row r="173">
      <c r="A173" s="26" t="inlineStr">
        <is>
          <t>2026-08-11</t>
        </is>
      </c>
      <c r="B173" s="27" t="n">
        <v>0</v>
      </c>
      <c r="C173" s="27" t="n">
        <v>0</v>
      </c>
      <c r="D173" s="28">
        <f>D172+B173</f>
        <v/>
      </c>
      <c r="E173" s="28">
        <f>E172+C173</f>
        <v/>
      </c>
      <c r="F173" s="28">
        <f>D173/160+E173</f>
        <v/>
      </c>
      <c r="G173" s="28">
        <f>MAX((80-F173)*160,0)</f>
        <v/>
      </c>
      <c r="H173" s="28">
        <f>IF(21&gt;=21,SUMPRODUCT(B153:B173+C153:C173*160)/21,0)</f>
        <v/>
      </c>
      <c r="I173" s="28">
        <f>IF(H173&gt;0,G173/H173,0)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2026-08-11T18:12:55Z</dcterms:modified>
  <cp:lastModifiedBy>Rianna Santra</cp:lastModifiedBy>
</cp:coreProperties>
</file>